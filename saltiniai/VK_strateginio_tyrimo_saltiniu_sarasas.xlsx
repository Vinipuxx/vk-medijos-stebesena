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kaitykite pirma" sheetId="1" state="visible" r:id="rId3"/>
    <sheet name="Šaltiniai" sheetId="2" state="visible" r:id="rId4"/>
    <sheet name="Suvestinė" sheetId="3" state="visible" r:id="rId5"/>
  </sheets>
  <definedNames>
    <definedName function="false" hidden="true" localSheetId="1" name="_xlnm._FilterDatabase" vbProcedure="false">Šaltiniai!$A$1:$L$97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<sst xmlns="http://schemas.openxmlformats.org/spreadsheetml/2006/main" count="687" uniqueCount="346">
  <si>
    <t xml:space="preserve">Strateginio tyrimo žiniasklaidos ir viešųjų šaltinių stebėsenos sąrašas</t>
  </si>
  <si>
    <t xml:space="preserve">Paskirtis</t>
  </si>
  <si>
    <t xml:space="preserve">Sąrašas skirtas VK strateginio tyrimo analitikams, stebintiems viešąją informaciją pagal pasiskirstytas viešojo valdymo sritis, ir gali būti naudojamas kaip pirminis šaltinių registras automatiniam naujienų rinkimui.</t>
  </si>
  <si>
    <t xml:space="preserve">Kaip pildyti</t>
  </si>
  <si>
    <t xml:space="preserve">Geltonai pažymėti ir mėlynu šriftu rašomi stulpeliai (F, I, J, K) yra skirti pildyti Jums. Kiti stulpeliai yra parengtas turinys – juos keiskite tik patikslinę informaciją.</t>
  </si>
  <si>
    <t xml:space="preserve">F stulpelis – RSS arba prenumeratos adresas. Dauguma rajoninių laikraščių veikia „WordPress“ pagrindu, todėl srautas paprastai yra adresu su galūne /feed/. lrv.lt domeno institucijos siūlo naujienų prenumeratą el. paštu.</t>
  </si>
  <si>
    <t xml:space="preserve">I stulpelis – atsakingas analitikas. Rekomenduojama priskirti pagal viešojo valdymo sritį (D stulpelis), o ne pagal šaltinio tipą.</t>
  </si>
  <si>
    <t xml:space="preserve">J stulpelis – ar šaltinis įtrauktas į nuolatinę stebėseną (Taip / Ne / Vertinama).</t>
  </si>
  <si>
    <t xml:space="preserve">K stulpelis – paskutinės peržiūros data. Padeda matyti, ar srautas tikrai stebimas.</t>
  </si>
  <si>
    <t xml:space="preserve">Stulpelis „Adresas patikrintas 2026-09-03“</t>
  </si>
  <si>
    <t xml:space="preserve">„Taip“ – adresas patikrintas oficialiame šaltinyje (lrv.lt ministerijų sąraše, NRMLLA narių sąraše arba paties leidinio puslapyje).</t>
  </si>
  <si>
    <t xml:space="preserve">„Tikrinti“ – adresas nurodytas iš bendrųjų žinių ir turi būti patikrintas prieš įtraukiant į automatinį rinkimą.</t>
  </si>
  <si>
    <t xml:space="preserve">Metodinė pastaba</t>
  </si>
  <si>
    <t xml:space="preserve">Žiniasklaidos publikacija strateginiame tyrime yra hipotezės, o ne įrodymo šaltinis. Prieš teikiant temą į audito planą, signalą reikėtų patvirtinti bent vienu instituciniu arba statistiniu šaltiniu (6–8 kategorijos).</t>
  </si>
  <si>
    <t xml:space="preserve">Radinius rekomenduojama fiksuoti vienodai: data, šaltinis, URL, viešojo valdymo sritis, atsakinga institucija, problemos formuluotė vienu sakiniu, požymis, kad problema kartojasi. Tada po kelių mėnesių turėsite ne atskirus failus, o vieną duomenų rinkinį.</t>
  </si>
  <si>
    <t xml:space="preserve">Šaltiniai</t>
  </si>
  <si>
    <t xml:space="preserve">Ministerijų ir Vyriausybės įstaigų adresai: https://lrv.lt/lt/ministerijos-ir-istaigos/</t>
  </si>
  <si>
    <t xml:space="preserve">Rajoninių laikraščių adresai: Nacionalinės rajonų ir miestų laikraščių leidėjų asociacijos (NRMLLA) narių sąrašas, https://nrmlla.lt/nariai/</t>
  </si>
  <si>
    <t xml:space="preserve">Sąrašas sudarytas 2026-09-03.</t>
  </si>
  <si>
    <t xml:space="preserve">Nr.</t>
  </si>
  <si>
    <t xml:space="preserve">Kategorija</t>
  </si>
  <si>
    <t xml:space="preserve">Šaltinio pavadinimas</t>
  </si>
  <si>
    <t xml:space="preserve">Viešojo valdymo sritis</t>
  </si>
  <si>
    <t xml:space="preserve">URL</t>
  </si>
  <si>
    <t xml:space="preserve">RSS / prenumeratos adresas</t>
  </si>
  <si>
    <t xml:space="preserve">Adresas patikrintas 2026-09-03</t>
  </si>
  <si>
    <t xml:space="preserve">Rekomenduojamas stebėjimo dažnumas</t>
  </si>
  <si>
    <t xml:space="preserve">Atsakingas analitikas</t>
  </si>
  <si>
    <t xml:space="preserve">Įtraukta į stebėseną</t>
  </si>
  <si>
    <t xml:space="preserve">Paskutinis peržiūros įrašas</t>
  </si>
  <si>
    <t xml:space="preserve">Pastabos</t>
  </si>
  <si>
    <t xml:space="preserve">1. Nacionalinė žiniasklaida</t>
  </si>
  <si>
    <t xml:space="preserve">LRT</t>
  </si>
  <si>
    <t xml:space="preserve">Visos sritys</t>
  </si>
  <si>
    <t xml:space="preserve">https://www.lrt.lt/</t>
  </si>
  <si>
    <t xml:space="preserve">Taip</t>
  </si>
  <si>
    <t xml:space="preserve">Kasdien</t>
  </si>
  <si>
    <t xml:space="preserve">Visuomeninis transliuotojas; atskiras tyrimų skyrius – daug medžiagos apie viešųjų lėšų naudojimą</t>
  </si>
  <si>
    <t xml:space="preserve">LRT Tyrimai (rubrika)</t>
  </si>
  <si>
    <t xml:space="preserve">https://www.lrt.lt/tema/lrt-tyrimai</t>
  </si>
  <si>
    <t xml:space="preserve">Tikrinti</t>
  </si>
  <si>
    <t xml:space="preserve">Kas savaitę</t>
  </si>
  <si>
    <t xml:space="preserve">Rubrikos adresas gali keistis – patikrinti prieš įtraukiant į automatinį rinkimą</t>
  </si>
  <si>
    <t xml:space="preserve">Delfi</t>
  </si>
  <si>
    <t xml:space="preserve">https://www.delfi.lt/</t>
  </si>
  <si>
    <t xml:space="preserve">Didžiausia auditorija, plati regionų korespondentų aprėptis</t>
  </si>
  <si>
    <t xml:space="preserve">15min</t>
  </si>
  <si>
    <t xml:space="preserve">https://www.15min.lt/</t>
  </si>
  <si>
    <t xml:space="preserve">Analitiniai ir tiriamieji tekstai, aiškiai išskirtos viešosios politikos temos</t>
  </si>
  <si>
    <t xml:space="preserve">Lrytas</t>
  </si>
  <si>
    <t xml:space="preserve">https://www.lrytas.lt/</t>
  </si>
  <si>
    <t xml:space="preserve">Didelė aprėptis, daug savivaldos ir socialinių temų</t>
  </si>
  <si>
    <t xml:space="preserve">TV3</t>
  </si>
  <si>
    <t xml:space="preserve">https://www.tv3.lt/</t>
  </si>
  <si>
    <t xml:space="preserve">Komercinio transliuotojo naujienos, laidos su tyrimų elementu</t>
  </si>
  <si>
    <t xml:space="preserve">Alfa</t>
  </si>
  <si>
    <t xml:space="preserve">https://www.alfa.lt/</t>
  </si>
  <si>
    <t xml:space="preserve">Alternatyvus redakcinis požiūris – naudinga temų įvairovei</t>
  </si>
  <si>
    <t xml:space="preserve">ELTA</t>
  </si>
  <si>
    <t xml:space="preserve">https://www.elta.lt/</t>
  </si>
  <si>
    <t xml:space="preserve">Naujienų agentūra – pirminis, neredaguotas įvykių srautas</t>
  </si>
  <si>
    <t xml:space="preserve">BNS spaudos centras</t>
  </si>
  <si>
    <t xml:space="preserve">https://sc.bns.lt/</t>
  </si>
  <si>
    <t xml:space="preserve">Nemokamai skelbiami institucijų, asociacijų ir NVO pranešimai spaudai – vienos vietos srautas</t>
  </si>
  <si>
    <t xml:space="preserve">Bernardinai</t>
  </si>
  <si>
    <t xml:space="preserve">Socialinė apsauga, kultūra</t>
  </si>
  <si>
    <t xml:space="preserve">https://www.bernardinai.lt/</t>
  </si>
  <si>
    <t xml:space="preserve">Socialinės atskirties, bendruomenių, vertybinių klausimų analizė, ilgi tekstai</t>
  </si>
  <si>
    <t xml:space="preserve">2. Verslo ir sektorinė žiniasklaida</t>
  </si>
  <si>
    <t xml:space="preserve">Verslo žinios</t>
  </si>
  <si>
    <t xml:space="preserve">Finansai, VVĮ, viešieji pirkimai</t>
  </si>
  <si>
    <t xml:space="preserve">https://www.vz.lt/</t>
  </si>
  <si>
    <t xml:space="preserve">Dalis turinio už mokamos sienos, antraštės ir įžangos matomos</t>
  </si>
  <si>
    <t xml:space="preserve">IQ</t>
  </si>
  <si>
    <t xml:space="preserve">Viešoji politika</t>
  </si>
  <si>
    <t xml:space="preserve">https://iq.lt/</t>
  </si>
  <si>
    <t xml:space="preserve">Analitinė žurnalistika, viešosios politikos apžvalgos</t>
  </si>
  <si>
    <t xml:space="preserve">Valstiečių laikraštis</t>
  </si>
  <si>
    <t xml:space="preserve">Žemės ūkis, regionai</t>
  </si>
  <si>
    <t xml:space="preserve">https://www.valstietis.lt/</t>
  </si>
  <si>
    <t xml:space="preserve">Kaimo bendruomenės, paslaugų prieinamumas regionuose</t>
  </si>
  <si>
    <t xml:space="preserve">Ūkininko patarėjas</t>
  </si>
  <si>
    <t xml:space="preserve">Žemės ūkis</t>
  </si>
  <si>
    <t xml:space="preserve">https://ukininkopatarejas.lt/</t>
  </si>
  <si>
    <t xml:space="preserve">Žemės ūkio parama ir jos administravimas</t>
  </si>
  <si>
    <t xml:space="preserve">3. Tiriamoji žurnalistika</t>
  </si>
  <si>
    <t xml:space="preserve">Tiriamosios žurnalistikos centras „Siena“</t>
  </si>
  <si>
    <t xml:space="preserve">Korupcija, viešasis valdymas</t>
  </si>
  <si>
    <t xml:space="preserve">https://siena.lt/</t>
  </si>
  <si>
    <t xml:space="preserve">Vienintelė GIJN narė Lietuvoje; dirba su OCCRP ir ICIJ. Tyrimai su dokumentiniu pagrindu</t>
  </si>
  <si>
    <t xml:space="preserve">Laisvės TV</t>
  </si>
  <si>
    <t xml:space="preserve">https://www.laisvestv.lt/</t>
  </si>
  <si>
    <t xml:space="preserve">Bendri tyrimai su „Siena“, didelis visuomenės rezonansas</t>
  </si>
  <si>
    <t xml:space="preserve">Atvira Klaipėda</t>
  </si>
  <si>
    <t xml:space="preserve">Savivalda</t>
  </si>
  <si>
    <t xml:space="preserve">https://www.atviraklaipeda.lt/</t>
  </si>
  <si>
    <t xml:space="preserve">Retas atvejis, kai regione veikia tiriamojo pobūdžio portalas – savivaldos sprendimų analizė</t>
  </si>
  <si>
    <t xml:space="preserve">4. Regioninė žiniasklaida (didmiesčiai)</t>
  </si>
  <si>
    <t xml:space="preserve">Kauno diena</t>
  </si>
  <si>
    <t xml:space="preserve">Savivalda, Kauno regionas</t>
  </si>
  <si>
    <t xml:space="preserve">https://kauno.diena.lt/</t>
  </si>
  <si>
    <t xml:space="preserve">Klaipėda (diena.lt)</t>
  </si>
  <si>
    <t xml:space="preserve">Savivalda, Klaipėdos regionas</t>
  </si>
  <si>
    <t xml:space="preserve">https://klaipeda.diena.lt/</t>
  </si>
  <si>
    <t xml:space="preserve">Vakarų ekspresas</t>
  </si>
  <si>
    <t xml:space="preserve">https://ve.lt/</t>
  </si>
  <si>
    <t xml:space="preserve">NRMLLA narys</t>
  </si>
  <si>
    <t xml:space="preserve">Šiaulių kraštas</t>
  </si>
  <si>
    <t xml:space="preserve">Savivalda, Šiaulių regionas</t>
  </si>
  <si>
    <t xml:space="preserve">https://www.skrastas.lt/</t>
  </si>
  <si>
    <t xml:space="preserve">Sekundė</t>
  </si>
  <si>
    <t xml:space="preserve">Savivalda, Panevėžio regionas</t>
  </si>
  <si>
    <t xml:space="preserve">https://www.sekunde.lt/</t>
  </si>
  <si>
    <t xml:space="preserve">Etaplius</t>
  </si>
  <si>
    <t xml:space="preserve">https://www.etaplius.lt/</t>
  </si>
  <si>
    <t xml:space="preserve">IŽA narys</t>
  </si>
  <si>
    <t xml:space="preserve">Kas vyksta Kaune</t>
  </si>
  <si>
    <t xml:space="preserve">Savivalda, Kaunas</t>
  </si>
  <si>
    <t xml:space="preserve">https://kaunas.kasvyksta.lt/</t>
  </si>
  <si>
    <t xml:space="preserve">Made in Vilnius</t>
  </si>
  <si>
    <t xml:space="preserve">Savivalda, Vilnius</t>
  </si>
  <si>
    <t xml:space="preserve">https://madeinvilnius.lt/</t>
  </si>
  <si>
    <t xml:space="preserve">Alytus plius</t>
  </si>
  <si>
    <t xml:space="preserve">Savivalda, Alytaus regionas</t>
  </si>
  <si>
    <t xml:space="preserve">https://www.alytusplius.lt/</t>
  </si>
  <si>
    <t xml:space="preserve">5. Regioninė žiniasklaida (rajonai)</t>
  </si>
  <si>
    <t xml:space="preserve">Alytaus naujienos</t>
  </si>
  <si>
    <t xml:space="preserve">Alytaus r.</t>
  </si>
  <si>
    <t xml:space="preserve">https://www.alytausnaujienos.lt/</t>
  </si>
  <si>
    <t xml:space="preserve">Anykšta</t>
  </si>
  <si>
    <t xml:space="preserve">Anykščių r.</t>
  </si>
  <si>
    <t xml:space="preserve">https://www.anyksta.lt/</t>
  </si>
  <si>
    <t xml:space="preserve">Banga</t>
  </si>
  <si>
    <t xml:space="preserve">Klaipėdos r. (Gargždai)</t>
  </si>
  <si>
    <t xml:space="preserve">https://gargzdai.lt/</t>
  </si>
  <si>
    <t xml:space="preserve">Bičiulis</t>
  </si>
  <si>
    <t xml:space="preserve">Kelmės r.</t>
  </si>
  <si>
    <t xml:space="preserve">https://www.biciulis.net/</t>
  </si>
  <si>
    <t xml:space="preserve">Elektrėnų kronika</t>
  </si>
  <si>
    <t xml:space="preserve">Elektrėnų sav.</t>
  </si>
  <si>
    <t xml:space="preserve">https://www.kronika.lt/</t>
  </si>
  <si>
    <t xml:space="preserve">Gimtasis Rokiškis</t>
  </si>
  <si>
    <t xml:space="preserve">Rokiškio r.</t>
  </si>
  <si>
    <t xml:space="preserve">https://www.grokiskis.lt/</t>
  </si>
  <si>
    <t xml:space="preserve">Gimtoji žemė</t>
  </si>
  <si>
    <t xml:space="preserve">Ukmergės r.</t>
  </si>
  <si>
    <t xml:space="preserve">https://www.gzeme.lt/</t>
  </si>
  <si>
    <t xml:space="preserve">Gyvenimas</t>
  </si>
  <si>
    <t xml:space="preserve">Prienų r., Birštono sav.</t>
  </si>
  <si>
    <t xml:space="preserve">https://www.gyvenimas.eu/</t>
  </si>
  <si>
    <t xml:space="preserve">Kupiškėnų mintys</t>
  </si>
  <si>
    <t xml:space="preserve">Kupiškio r.</t>
  </si>
  <si>
    <t xml:space="preserve">https://kmintys.lt/</t>
  </si>
  <si>
    <t xml:space="preserve">Merkio kraštas</t>
  </si>
  <si>
    <t xml:space="preserve">Varėnos r.</t>
  </si>
  <si>
    <t xml:space="preserve">https://merkiokrastas.com/</t>
  </si>
  <si>
    <t xml:space="preserve">Mūsų laikas</t>
  </si>
  <si>
    <t xml:space="preserve">Jurbarko r.</t>
  </si>
  <si>
    <t xml:space="preserve">https://www.mlaikas.lt/</t>
  </si>
  <si>
    <t xml:space="preserve">Mūsų žodis</t>
  </si>
  <si>
    <t xml:space="preserve">Skuodo r.</t>
  </si>
  <si>
    <t xml:space="preserve">https://www.musu-zodis.lt/</t>
  </si>
  <si>
    <t xml:space="preserve">Pajūrio naujienos</t>
  </si>
  <si>
    <t xml:space="preserve">Kretingos r.</t>
  </si>
  <si>
    <t xml:space="preserve">https://www.pajurionaujienos.com/</t>
  </si>
  <si>
    <t xml:space="preserve">Panevėžio kraštas</t>
  </si>
  <si>
    <t xml:space="preserve">Panevėžio r.</t>
  </si>
  <si>
    <t xml:space="preserve">https://panskliautas.lt/</t>
  </si>
  <si>
    <t xml:space="preserve">Plungė</t>
  </si>
  <si>
    <t xml:space="preserve">Plungės r., Rietavo sav.</t>
  </si>
  <si>
    <t xml:space="preserve">https://laikrastisplunge.lt/</t>
  </si>
  <si>
    <t xml:space="preserve">Rinkos aikštė</t>
  </si>
  <si>
    <t xml:space="preserve">Kėdainių r.</t>
  </si>
  <si>
    <t xml:space="preserve">https://rinkosaikste.lt/</t>
  </si>
  <si>
    <t xml:space="preserve">Santaka</t>
  </si>
  <si>
    <t xml:space="preserve">Vilkaviškio r.</t>
  </si>
  <si>
    <t xml:space="preserve">https://santaka.info/</t>
  </si>
  <si>
    <t xml:space="preserve">Santarvė</t>
  </si>
  <si>
    <t xml:space="preserve">Mažeikių r.</t>
  </si>
  <si>
    <t xml:space="preserve">https://www.santarve.lt/</t>
  </si>
  <si>
    <t xml:space="preserve">Suvalkietis</t>
  </si>
  <si>
    <t xml:space="preserve">Marijampolės apskr.</t>
  </si>
  <si>
    <t xml:space="preserve">https://www.suvalkietis.lt/</t>
  </si>
  <si>
    <t xml:space="preserve">Šiaurės rytai</t>
  </si>
  <si>
    <t xml:space="preserve">Biržų r.</t>
  </si>
  <si>
    <t xml:space="preserve">https://siaure.lt/</t>
  </si>
  <si>
    <t xml:space="preserve">Šilalės artojas</t>
  </si>
  <si>
    <t xml:space="preserve">Šilalės r.</t>
  </si>
  <si>
    <t xml:space="preserve">https://silales-artojas.lt/</t>
  </si>
  <si>
    <t xml:space="preserve">Šilutės naujienos</t>
  </si>
  <si>
    <t xml:space="preserve">Šilutės r.</t>
  </si>
  <si>
    <t xml:space="preserve">https://www.silutesnaujienos.lt/lt/</t>
  </si>
  <si>
    <t xml:space="preserve">Šviesa</t>
  </si>
  <si>
    <t xml:space="preserve">https://jurbarkosviesa.lt/</t>
  </si>
  <si>
    <t xml:space="preserve">Tauragės kurjeris</t>
  </si>
  <si>
    <t xml:space="preserve">Tauragės r.</t>
  </si>
  <si>
    <t xml:space="preserve">https://kurjeris.lt/</t>
  </si>
  <si>
    <t xml:space="preserve">Telšių žinios</t>
  </si>
  <si>
    <t xml:space="preserve">Telšių apskr.</t>
  </si>
  <si>
    <t xml:space="preserve">https://tzinios.lt/</t>
  </si>
  <si>
    <t xml:space="preserve">Ukmergės žinios</t>
  </si>
  <si>
    <t xml:space="preserve">https://www.ukzinios.lt/</t>
  </si>
  <si>
    <t xml:space="preserve">Utenos diena</t>
  </si>
  <si>
    <t xml:space="preserve">Utenos r.</t>
  </si>
  <si>
    <t xml:space="preserve">https://udiena.lt/</t>
  </si>
  <si>
    <t xml:space="preserve">Vienybė</t>
  </si>
  <si>
    <t xml:space="preserve">Akmenės r.</t>
  </si>
  <si>
    <t xml:space="preserve">http://www.avienybe.lt/</t>
  </si>
  <si>
    <t xml:space="preserve">6. Valdžios institucijos</t>
  </si>
  <si>
    <t xml:space="preserve">Lietuvos Respublikos Vyriausybė</t>
  </si>
  <si>
    <t xml:space="preserve">https://lrv.lt/lt/</t>
  </si>
  <si>
    <t xml:space="preserve">Vyriausybės posėdžiai ir pasitarimai</t>
  </si>
  <si>
    <t xml:space="preserve">https://lrv.lt/lt/posedziai/</t>
  </si>
  <si>
    <t xml:space="preserve">Darbotvarkės rodo, kokie klausimai bus sprendžiami artimiausiu metu</t>
  </si>
  <si>
    <t xml:space="preserve">Lietuvos Respublikos Seimas</t>
  </si>
  <si>
    <t xml:space="preserve">https://www.lrs.lt/</t>
  </si>
  <si>
    <t xml:space="preserve">Seimo naujienos ir pranešimai spaudai</t>
  </si>
  <si>
    <t xml:space="preserve">https://www.lrs.lt/sip/portal.show?p_r=35403&amp;p_k=1</t>
  </si>
  <si>
    <t xml:space="preserve">Įskaitant komitetų ir frakcijų pranešimus</t>
  </si>
  <si>
    <t xml:space="preserve">Teisės aktų registras (TAR)</t>
  </si>
  <si>
    <t xml:space="preserve">https://www.e-tar.lt/</t>
  </si>
  <si>
    <t xml:space="preserve">Priimtų teisės aktų srautas</t>
  </si>
  <si>
    <t xml:space="preserve">Teisės aktų ir projektų paieška (e-Seimas)</t>
  </si>
  <si>
    <t xml:space="preserve">https://e-seimas.lrs.lt/</t>
  </si>
  <si>
    <t xml:space="preserve">Registruoti projektai rodo planuojamus pokyčius anksčiau nei jie priimami</t>
  </si>
  <si>
    <t xml:space="preserve">Respublikos Prezidentas</t>
  </si>
  <si>
    <t xml:space="preserve">https://www.lrp.lt/</t>
  </si>
  <si>
    <t xml:space="preserve">Aplinkos ministerija</t>
  </si>
  <si>
    <t xml:space="preserve">Aplinka, statyba, būstas</t>
  </si>
  <si>
    <t xml:space="preserve">https://am.lrv.lt/lt/</t>
  </si>
  <si>
    <t xml:space="preserve">Naujienos: pridėti naujienos/ prie adreso</t>
  </si>
  <si>
    <t xml:space="preserve">Ekonomikos ir inovacijų ministerija</t>
  </si>
  <si>
    <t xml:space="preserve">Ekonomika, inovacijos</t>
  </si>
  <si>
    <t xml:space="preserve">https://eimin.lrv.lt/lt/</t>
  </si>
  <si>
    <t xml:space="preserve">Energetikos ministerija</t>
  </si>
  <si>
    <t xml:space="preserve">Energetika</t>
  </si>
  <si>
    <t xml:space="preserve">https://enmin.lrv.lt/lt/</t>
  </si>
  <si>
    <t xml:space="preserve">Finansų ministerija</t>
  </si>
  <si>
    <t xml:space="preserve">Finansai, biudžetas, ES fondai</t>
  </si>
  <si>
    <t xml:space="preserve">https://finmin.lrv.lt/lt/</t>
  </si>
  <si>
    <t xml:space="preserve">Krašto apsaugos ministerija</t>
  </si>
  <si>
    <t xml:space="preserve">Gynyba</t>
  </si>
  <si>
    <t xml:space="preserve">https://kam.lt/</t>
  </si>
  <si>
    <t xml:space="preserve">Kultūros ministerija</t>
  </si>
  <si>
    <t xml:space="preserve">Kultūra, žiniasklaida</t>
  </si>
  <si>
    <t xml:space="preserve">https://lrkm.lrv.lt/lt/</t>
  </si>
  <si>
    <t xml:space="preserve">Socialinės apsaugos ir darbo ministerija</t>
  </si>
  <si>
    <t xml:space="preserve">Socialinė apsauga, darbas</t>
  </si>
  <si>
    <t xml:space="preserve">https://socmin.lrv.lt/lt/</t>
  </si>
  <si>
    <t xml:space="preserve">Susisiekimo ministerija</t>
  </si>
  <si>
    <t xml:space="preserve">Transportas, ryšiai</t>
  </si>
  <si>
    <t xml:space="preserve">https://sumin.lrv.lt/lt/</t>
  </si>
  <si>
    <t xml:space="preserve">Sveikatos apsaugos ministerija</t>
  </si>
  <si>
    <t xml:space="preserve">Sveikata</t>
  </si>
  <si>
    <t xml:space="preserve">https://sam.lrv.lt/lt/</t>
  </si>
  <si>
    <t xml:space="preserve">Švietimo, mokslo ir sporto ministerija</t>
  </si>
  <si>
    <t xml:space="preserve">Švietimas, mokslas, sportas</t>
  </si>
  <si>
    <t xml:space="preserve">https://smsm.lrv.lt/lt/</t>
  </si>
  <si>
    <t xml:space="preserve">Teisingumo ministerija</t>
  </si>
  <si>
    <t xml:space="preserve">Teisingumas</t>
  </si>
  <si>
    <t xml:space="preserve">https://tm.lrv.lt/lt/</t>
  </si>
  <si>
    <t xml:space="preserve">Užsienio reikalų ministerija</t>
  </si>
  <si>
    <t xml:space="preserve">Užsienio politika</t>
  </si>
  <si>
    <t xml:space="preserve">https://www.urm.lt/lt/</t>
  </si>
  <si>
    <t xml:space="preserve">Vidaus reikalų ministerija</t>
  </si>
  <si>
    <t xml:space="preserve">Vidaus reikalai, savivalda, viešasis valdymas</t>
  </si>
  <si>
    <t xml:space="preserve">https://vrm.lrv.lt/lt/</t>
  </si>
  <si>
    <t xml:space="preserve">Žemės ūkio ministerija</t>
  </si>
  <si>
    <t xml:space="preserve">https://zum.lrv.lt/lt/</t>
  </si>
  <si>
    <t xml:space="preserve">7. Kontrolė ir priežiūra</t>
  </si>
  <si>
    <t xml:space="preserve">Seimo kontrolierių įstaiga</t>
  </si>
  <si>
    <t xml:space="preserve">Viešasis administravimas, žmogaus teisės</t>
  </si>
  <si>
    <t xml:space="preserve">https://www.lrski.lt/</t>
  </si>
  <si>
    <t xml:space="preserve">Kas mėnesį</t>
  </si>
  <si>
    <t xml:space="preserve">Skundai dėl biurokratizmo ir piktnaudžiavimo; metinė ataskaita – susisteminta problemų suvestinė</t>
  </si>
  <si>
    <t xml:space="preserve">Lygių galimybių kontrolieriaus tarnyba</t>
  </si>
  <si>
    <t xml:space="preserve">Diskriminacija, paslaugų prieinamumas</t>
  </si>
  <si>
    <t xml:space="preserve">https://lygybe.lt/</t>
  </si>
  <si>
    <t xml:space="preserve">Vaiko teisių apsaugos kontrolieriaus įstaiga</t>
  </si>
  <si>
    <t xml:space="preserve">Vaiko teisės, globa, švietimas</t>
  </si>
  <si>
    <t xml:space="preserve">https://vtaki.lt/</t>
  </si>
  <si>
    <t xml:space="preserve">Specialiųjų tyrimų tarnyba (STT)</t>
  </si>
  <si>
    <t xml:space="preserve">Korupcijos rizikos</t>
  </si>
  <si>
    <t xml:space="preserve">https://www.stt.lt/</t>
  </si>
  <si>
    <t xml:space="preserve">Korupcijos rizikos analizės – beveik gatavas audito temų sąrašas</t>
  </si>
  <si>
    <t xml:space="preserve">Vyriausioji tarnybinės etikos komisija (VTEK)</t>
  </si>
  <si>
    <t xml:space="preserve">Interesų konfliktai</t>
  </si>
  <si>
    <t xml:space="preserve">https://www.vtek.lt/</t>
  </si>
  <si>
    <t xml:space="preserve">Viešųjų pirkimų tarnyba</t>
  </si>
  <si>
    <t xml:space="preserve">Viešieji pirkimai</t>
  </si>
  <si>
    <t xml:space="preserve">https://vpt.lrv.lt/</t>
  </si>
  <si>
    <t xml:space="preserve">Konkurencijos taryba</t>
  </si>
  <si>
    <t xml:space="preserve">Konkurencija, VVĮ</t>
  </si>
  <si>
    <t xml:space="preserve">https://kt.gov.lt/</t>
  </si>
  <si>
    <t xml:space="preserve">Savivaldybių ir valstybės įmonių konkurencijos ribojimai</t>
  </si>
  <si>
    <t xml:space="preserve">Valstybinė darbo inspekcija</t>
  </si>
  <si>
    <t xml:space="preserve">Darbo santykiai, sauga</t>
  </si>
  <si>
    <t xml:space="preserve">https://vdi.lrv.lt/</t>
  </si>
  <si>
    <t xml:space="preserve">Valstybinė duomenų apsaugos inspekcija</t>
  </si>
  <si>
    <t xml:space="preserve">Asmens duomenys</t>
  </si>
  <si>
    <t xml:space="preserve">https://vdai.lrv.lt/lt/</t>
  </si>
  <si>
    <t xml:space="preserve">Nacionalinis kibernetinio saugumo centras</t>
  </si>
  <si>
    <t xml:space="preserve">Kibernetinis saugumas</t>
  </si>
  <si>
    <t xml:space="preserve">https://nksc.lrv.lt/lt/</t>
  </si>
  <si>
    <t xml:space="preserve">Aktualu IT audito srities temoms</t>
  </si>
  <si>
    <t xml:space="preserve">Vyriausybės atstovų įstaiga</t>
  </si>
  <si>
    <t xml:space="preserve">https://vaistaiga.lrv.lt/lt/</t>
  </si>
  <si>
    <t xml:space="preserve">Savivaldybių sprendimų teisėtumo priežiūra – tiesioginis savivaldos problemų šaltinis</t>
  </si>
  <si>
    <t xml:space="preserve">Valstybės kontrolė</t>
  </si>
  <si>
    <t xml:space="preserve">https://www.valstybeskontrole.lt/</t>
  </si>
  <si>
    <t xml:space="preserve">Ankstesnių auditų rezultatai ir rekomendacijų įgyvendinimo stebėsena</t>
  </si>
  <si>
    <t xml:space="preserve">8. Analitika ir duomenys</t>
  </si>
  <si>
    <t xml:space="preserve">Valstybės duomenų agentūra</t>
  </si>
  <si>
    <t xml:space="preserve">Statistika</t>
  </si>
  <si>
    <t xml:space="preserve">https://vda.lrv.lt/lt/</t>
  </si>
  <si>
    <t xml:space="preserve">Oficialioji statistika, rodiklių duomenų bazė – signalo patikrinimui</t>
  </si>
  <si>
    <t xml:space="preserve">Vyriausybės strateginės analizės centras (STRATA)</t>
  </si>
  <si>
    <t xml:space="preserve">https://strata.gov.lt/</t>
  </si>
  <si>
    <t xml:space="preserve">Lietuvos bankas</t>
  </si>
  <si>
    <t xml:space="preserve">Makroekonomika, finansų stabilumas</t>
  </si>
  <si>
    <t xml:space="preserve">https://www.lb.lt/</t>
  </si>
  <si>
    <t xml:space="preserve">Sodra</t>
  </si>
  <si>
    <t xml:space="preserve">Socialinis draudimas, pajamos</t>
  </si>
  <si>
    <t xml:space="preserve">https://www.sodra.lt/</t>
  </si>
  <si>
    <t xml:space="preserve">Užimtumo tarnyba</t>
  </si>
  <si>
    <t xml:space="preserve">Darbo rinka</t>
  </si>
  <si>
    <t xml:space="preserve">https://uzt.lt/</t>
  </si>
  <si>
    <t xml:space="preserve">Valstybinė ligonių kasa</t>
  </si>
  <si>
    <t xml:space="preserve">Sveikatos finansavimas</t>
  </si>
  <si>
    <t xml:space="preserve">https://ligoniukasa.lrv.lt/</t>
  </si>
  <si>
    <t xml:space="preserve">Lietuvos savivaldybių asociacija</t>
  </si>
  <si>
    <t xml:space="preserve">https://www.lsa.lt/</t>
  </si>
  <si>
    <t xml:space="preserve">Savivaldybių pačių formuluojamos problemos ir jų pozicija</t>
  </si>
  <si>
    <t xml:space="preserve">„Transparency International“ Lietuvos skyrius</t>
  </si>
  <si>
    <t xml:space="preserve">Skaidrumas</t>
  </si>
  <si>
    <t xml:space="preserve">https://www.transparency.lt/</t>
  </si>
  <si>
    <t xml:space="preserve">Savivaldybių skaidrumo indeksai</t>
  </si>
  <si>
    <t xml:space="preserve">Lietuvos laisvosios rinkos institutas</t>
  </si>
  <si>
    <t xml:space="preserve">Reguliavimas, savivalda</t>
  </si>
  <si>
    <t xml:space="preserve">https://www.llri.lt/</t>
  </si>
  <si>
    <t xml:space="preserve">Savivaldybių indeksas, reguliavimo naštos vertinimai</t>
  </si>
  <si>
    <t xml:space="preserve">Šaltinių suvestinė pagal kategorijas</t>
  </si>
  <si>
    <t xml:space="preserve">Šaltinių skaičius</t>
  </si>
  <si>
    <t xml:space="preserve">Iš jų adresas patikrintas</t>
  </si>
  <si>
    <t xml:space="preserve">Iš viso</t>
  </si>
  <si>
    <t xml:space="preserve">Stulpelis „Įtraukta į stebėseną“ užsipildys, kai lape „Šaltiniai“ pažymėsite J stulpelį.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</si>
</sst>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lrt.lt/" TargetMode="External"/><Relationship Id="rId2" Type="http://schemas.openxmlformats.org/officeDocument/2006/relationships/hyperlink" Target="https://www.lrt.lt/tema/lrt-tyrimai" TargetMode="External"/><Relationship Id="rId3" Type="http://schemas.openxmlformats.org/officeDocument/2006/relationships/hyperlink" Target="https://www.delfi.lt/" TargetMode="External"/><Relationship Id="rId4" Type="http://schemas.openxmlformats.org/officeDocument/2006/relationships/hyperlink" Target="https://www.15min.lt/" TargetMode="External"/><Relationship Id="rId5" Type="http://schemas.openxmlformats.org/officeDocument/2006/relationships/hyperlink" Target="https://www.lrytas.lt/" TargetMode="External"/><Relationship Id="rId6" Type="http://schemas.openxmlformats.org/officeDocument/2006/relationships/hyperlink" Target="https://www.tv3.lt/" TargetMode="External"/><Relationship Id="rId7" Type="http://schemas.openxmlformats.org/officeDocument/2006/relationships/hyperlink" Target="https://www.alfa.lt/" TargetMode="External"/><Relationship Id="rId8" Type="http://schemas.openxmlformats.org/officeDocument/2006/relationships/hyperlink" Target="https://www.elta.lt/" TargetMode="External"/><Relationship Id="rId9" Type="http://schemas.openxmlformats.org/officeDocument/2006/relationships/hyperlink" Target="https://sc.bns.lt/" TargetMode="External"/><Relationship Id="rId10" Type="http://schemas.openxmlformats.org/officeDocument/2006/relationships/hyperlink" Target="https://www.bernardinai.lt/" TargetMode="External"/><Relationship Id="rId11" Type="http://schemas.openxmlformats.org/officeDocument/2006/relationships/hyperlink" Target="https://www.vz.lt/" TargetMode="External"/><Relationship Id="rId12" Type="http://schemas.openxmlformats.org/officeDocument/2006/relationships/hyperlink" Target="https://iq.lt/" TargetMode="External"/><Relationship Id="rId13" Type="http://schemas.openxmlformats.org/officeDocument/2006/relationships/hyperlink" Target="https://www.valstietis.lt/" TargetMode="External"/><Relationship Id="rId14" Type="http://schemas.openxmlformats.org/officeDocument/2006/relationships/hyperlink" Target="https://ukininkopatarejas.lt/" TargetMode="External"/><Relationship Id="rId15" Type="http://schemas.openxmlformats.org/officeDocument/2006/relationships/hyperlink" Target="https://siena.lt/" TargetMode="External"/><Relationship Id="rId16" Type="http://schemas.openxmlformats.org/officeDocument/2006/relationships/hyperlink" Target="https://www.laisvestv.lt/" TargetMode="External"/><Relationship Id="rId17" Type="http://schemas.openxmlformats.org/officeDocument/2006/relationships/hyperlink" Target="https://www.atviraklaipeda.lt/" TargetMode="External"/><Relationship Id="rId18" Type="http://schemas.openxmlformats.org/officeDocument/2006/relationships/hyperlink" Target="https://kauno.diena.lt/" TargetMode="External"/><Relationship Id="rId19" Type="http://schemas.openxmlformats.org/officeDocument/2006/relationships/hyperlink" Target="https://klaipeda.diena.lt/" TargetMode="External"/><Relationship Id="rId20" Type="http://schemas.openxmlformats.org/officeDocument/2006/relationships/hyperlink" Target="https://ve.lt/" TargetMode="External"/><Relationship Id="rId21" Type="http://schemas.openxmlformats.org/officeDocument/2006/relationships/hyperlink" Target="https://www.skrastas.lt/" TargetMode="External"/><Relationship Id="rId22" Type="http://schemas.openxmlformats.org/officeDocument/2006/relationships/hyperlink" Target="https://www.sekunde.lt/" TargetMode="External"/><Relationship Id="rId23" Type="http://schemas.openxmlformats.org/officeDocument/2006/relationships/hyperlink" Target="https://www.etaplius.lt/" TargetMode="External"/><Relationship Id="rId24" Type="http://schemas.openxmlformats.org/officeDocument/2006/relationships/hyperlink" Target="https://kaunas.kasvyksta.lt/" TargetMode="External"/><Relationship Id="rId25" Type="http://schemas.openxmlformats.org/officeDocument/2006/relationships/hyperlink" Target="https://madeinvilnius.lt/" TargetMode="External"/><Relationship Id="rId26" Type="http://schemas.openxmlformats.org/officeDocument/2006/relationships/hyperlink" Target="https://www.alytusplius.lt/" TargetMode="External"/><Relationship Id="rId27" Type="http://schemas.openxmlformats.org/officeDocument/2006/relationships/hyperlink" Target="https://www.alytausnaujienos.lt/" TargetMode="External"/><Relationship Id="rId28" Type="http://schemas.openxmlformats.org/officeDocument/2006/relationships/hyperlink" Target="https://www.anyksta.lt/" TargetMode="External"/><Relationship Id="rId29" Type="http://schemas.openxmlformats.org/officeDocument/2006/relationships/hyperlink" Target="https://gargzdai.lt/" TargetMode="External"/><Relationship Id="rId30" Type="http://schemas.openxmlformats.org/officeDocument/2006/relationships/hyperlink" Target="https://www.biciulis.net/" TargetMode="External"/><Relationship Id="rId31" Type="http://schemas.openxmlformats.org/officeDocument/2006/relationships/hyperlink" Target="https://www.kronika.lt/" TargetMode="External"/><Relationship Id="rId32" Type="http://schemas.openxmlformats.org/officeDocument/2006/relationships/hyperlink" Target="https://www.grokiskis.lt/" TargetMode="External"/><Relationship Id="rId33" Type="http://schemas.openxmlformats.org/officeDocument/2006/relationships/hyperlink" Target="https://www.gzeme.lt/" TargetMode="External"/><Relationship Id="rId34" Type="http://schemas.openxmlformats.org/officeDocument/2006/relationships/hyperlink" Target="https://www.gyvenimas.eu/" TargetMode="External"/><Relationship Id="rId35" Type="http://schemas.openxmlformats.org/officeDocument/2006/relationships/hyperlink" Target="https://kmintys.lt/" TargetMode="External"/><Relationship Id="rId36" Type="http://schemas.openxmlformats.org/officeDocument/2006/relationships/hyperlink" Target="https://merkiokrastas.com/" TargetMode="External"/><Relationship Id="rId37" Type="http://schemas.openxmlformats.org/officeDocument/2006/relationships/hyperlink" Target="https://www.mlaikas.lt/" TargetMode="External"/><Relationship Id="rId38" Type="http://schemas.openxmlformats.org/officeDocument/2006/relationships/hyperlink" Target="https://www.musu-zodis.lt/" TargetMode="External"/><Relationship Id="rId39" Type="http://schemas.openxmlformats.org/officeDocument/2006/relationships/hyperlink" Target="https://www.pajurionaujienos.com/" TargetMode="External"/><Relationship Id="rId40" Type="http://schemas.openxmlformats.org/officeDocument/2006/relationships/hyperlink" Target="https://panskliautas.lt/" TargetMode="External"/><Relationship Id="rId41" Type="http://schemas.openxmlformats.org/officeDocument/2006/relationships/hyperlink" Target="https://laikrastisplunge.lt/" TargetMode="External"/><Relationship Id="rId42" Type="http://schemas.openxmlformats.org/officeDocument/2006/relationships/hyperlink" Target="https://rinkosaikste.lt/" TargetMode="External"/><Relationship Id="rId43" Type="http://schemas.openxmlformats.org/officeDocument/2006/relationships/hyperlink" Target="https://santaka.info/" TargetMode="External"/><Relationship Id="rId44" Type="http://schemas.openxmlformats.org/officeDocument/2006/relationships/hyperlink" Target="https://www.santarve.lt/" TargetMode="External"/><Relationship Id="rId45" Type="http://schemas.openxmlformats.org/officeDocument/2006/relationships/hyperlink" Target="https://www.suvalkietis.lt/" TargetMode="External"/><Relationship Id="rId46" Type="http://schemas.openxmlformats.org/officeDocument/2006/relationships/hyperlink" Target="https://siaure.lt/" TargetMode="External"/><Relationship Id="rId47" Type="http://schemas.openxmlformats.org/officeDocument/2006/relationships/hyperlink" Target="https://silales-artojas.lt/" TargetMode="External"/><Relationship Id="rId48" Type="http://schemas.openxmlformats.org/officeDocument/2006/relationships/hyperlink" Target="https://www.silutesnaujienos.lt/lt/" TargetMode="External"/><Relationship Id="rId49" Type="http://schemas.openxmlformats.org/officeDocument/2006/relationships/hyperlink" Target="https://jurbarkosviesa.lt/" TargetMode="External"/><Relationship Id="rId50" Type="http://schemas.openxmlformats.org/officeDocument/2006/relationships/hyperlink" Target="https://kurjeris.lt/" TargetMode="External"/><Relationship Id="rId51" Type="http://schemas.openxmlformats.org/officeDocument/2006/relationships/hyperlink" Target="https://tzinios.lt/" TargetMode="External"/><Relationship Id="rId52" Type="http://schemas.openxmlformats.org/officeDocument/2006/relationships/hyperlink" Target="https://www.ukzinios.lt/" TargetMode="External"/><Relationship Id="rId53" Type="http://schemas.openxmlformats.org/officeDocument/2006/relationships/hyperlink" Target="https://udiena.lt/" TargetMode="External"/><Relationship Id="rId54" Type="http://schemas.openxmlformats.org/officeDocument/2006/relationships/hyperlink" Target="http://www.avienybe.lt/" TargetMode="External"/><Relationship Id="rId55" Type="http://schemas.openxmlformats.org/officeDocument/2006/relationships/hyperlink" Target="https://lrv.lt/lt/" TargetMode="External"/><Relationship Id="rId56" Type="http://schemas.openxmlformats.org/officeDocument/2006/relationships/hyperlink" Target="https://lrv.lt/lt/posedziai/" TargetMode="External"/><Relationship Id="rId57" Type="http://schemas.openxmlformats.org/officeDocument/2006/relationships/hyperlink" Target="https://www.lrs.lt/" TargetMode="External"/><Relationship Id="rId58" Type="http://schemas.openxmlformats.org/officeDocument/2006/relationships/hyperlink" Target="https://www.lrs.lt/sip/portal.show?p_r=35403&amp;p_k=1" TargetMode="External"/><Relationship Id="rId59" Type="http://schemas.openxmlformats.org/officeDocument/2006/relationships/hyperlink" Target="https://www.e-tar.lt/" TargetMode="External"/><Relationship Id="rId60" Type="http://schemas.openxmlformats.org/officeDocument/2006/relationships/hyperlink" Target="https://e-seimas.lrs.lt/" TargetMode="External"/><Relationship Id="rId61" Type="http://schemas.openxmlformats.org/officeDocument/2006/relationships/hyperlink" Target="https://www.lrp.lt/" TargetMode="External"/><Relationship Id="rId62" Type="http://schemas.openxmlformats.org/officeDocument/2006/relationships/hyperlink" Target="https://am.lrv.lt/lt/" TargetMode="External"/><Relationship Id="rId63" Type="http://schemas.openxmlformats.org/officeDocument/2006/relationships/hyperlink" Target="https://eimin.lrv.lt/lt/" TargetMode="External"/><Relationship Id="rId64" Type="http://schemas.openxmlformats.org/officeDocument/2006/relationships/hyperlink" Target="https://enmin.lrv.lt/lt/" TargetMode="External"/><Relationship Id="rId65" Type="http://schemas.openxmlformats.org/officeDocument/2006/relationships/hyperlink" Target="https://finmin.lrv.lt/lt/" TargetMode="External"/><Relationship Id="rId66" Type="http://schemas.openxmlformats.org/officeDocument/2006/relationships/hyperlink" Target="https://kam.lt/" TargetMode="External"/><Relationship Id="rId67" Type="http://schemas.openxmlformats.org/officeDocument/2006/relationships/hyperlink" Target="https://lrkm.lrv.lt/lt/" TargetMode="External"/><Relationship Id="rId68" Type="http://schemas.openxmlformats.org/officeDocument/2006/relationships/hyperlink" Target="https://socmin.lrv.lt/lt/" TargetMode="External"/><Relationship Id="rId69" Type="http://schemas.openxmlformats.org/officeDocument/2006/relationships/hyperlink" Target="https://sumin.lrv.lt/lt/" TargetMode="External"/><Relationship Id="rId70" Type="http://schemas.openxmlformats.org/officeDocument/2006/relationships/hyperlink" Target="https://sam.lrv.lt/lt/" TargetMode="External"/><Relationship Id="rId71" Type="http://schemas.openxmlformats.org/officeDocument/2006/relationships/hyperlink" Target="https://smsm.lrv.lt/lt/" TargetMode="External"/><Relationship Id="rId72" Type="http://schemas.openxmlformats.org/officeDocument/2006/relationships/hyperlink" Target="https://tm.lrv.lt/lt/" TargetMode="External"/><Relationship Id="rId73" Type="http://schemas.openxmlformats.org/officeDocument/2006/relationships/hyperlink" Target="https://www.urm.lt/lt/" TargetMode="External"/><Relationship Id="rId74" Type="http://schemas.openxmlformats.org/officeDocument/2006/relationships/hyperlink" Target="https://vrm.lrv.lt/lt/" TargetMode="External"/><Relationship Id="rId75" Type="http://schemas.openxmlformats.org/officeDocument/2006/relationships/hyperlink" Target="https://zum.lrv.lt/lt/" TargetMode="External"/><Relationship Id="rId76" Type="http://schemas.openxmlformats.org/officeDocument/2006/relationships/hyperlink" Target="https://www.lrski.lt/" TargetMode="External"/><Relationship Id="rId77" Type="http://schemas.openxmlformats.org/officeDocument/2006/relationships/hyperlink" Target="https://lygybe.lt/" TargetMode="External"/><Relationship Id="rId78" Type="http://schemas.openxmlformats.org/officeDocument/2006/relationships/hyperlink" Target="https://vtaki.lt/" TargetMode="External"/><Relationship Id="rId79" Type="http://schemas.openxmlformats.org/officeDocument/2006/relationships/hyperlink" Target="https://www.stt.lt/" TargetMode="External"/><Relationship Id="rId80" Type="http://schemas.openxmlformats.org/officeDocument/2006/relationships/hyperlink" Target="https://www.vtek.lt/" TargetMode="External"/><Relationship Id="rId81" Type="http://schemas.openxmlformats.org/officeDocument/2006/relationships/hyperlink" Target="https://vpt.lrv.lt/" TargetMode="External"/><Relationship Id="rId82" Type="http://schemas.openxmlformats.org/officeDocument/2006/relationships/hyperlink" Target="https://kt.gov.lt/" TargetMode="External"/><Relationship Id="rId83" Type="http://schemas.openxmlformats.org/officeDocument/2006/relationships/hyperlink" Target="https://vdi.lrv.lt/" TargetMode="External"/><Relationship Id="rId84" Type="http://schemas.openxmlformats.org/officeDocument/2006/relationships/hyperlink" Target="https://vdai.lrv.lt/lt/" TargetMode="External"/><Relationship Id="rId85" Type="http://schemas.openxmlformats.org/officeDocument/2006/relationships/hyperlink" Target="https://nksc.lrv.lt/lt/" TargetMode="External"/><Relationship Id="rId86" Type="http://schemas.openxmlformats.org/officeDocument/2006/relationships/hyperlink" Target="https://vaistaiga.lrv.lt/lt/" TargetMode="External"/><Relationship Id="rId87" Type="http://schemas.openxmlformats.org/officeDocument/2006/relationships/hyperlink" Target="https://www.valstybeskontrole.lt/" TargetMode="External"/><Relationship Id="rId88" Type="http://schemas.openxmlformats.org/officeDocument/2006/relationships/hyperlink" Target="https://vda.lrv.lt/lt/" TargetMode="External"/><Relationship Id="rId89" Type="http://schemas.openxmlformats.org/officeDocument/2006/relationships/hyperlink" Target="https://strata.gov.lt/" TargetMode="External"/><Relationship Id="rId90" Type="http://schemas.openxmlformats.org/officeDocument/2006/relationships/hyperlink" Target="https://www.lb.lt/" TargetMode="External"/><Relationship Id="rId91" Type="http://schemas.openxmlformats.org/officeDocument/2006/relationships/hyperlink" Target="https://www.sodra.lt/" TargetMode="External"/><Relationship Id="rId92" Type="http://schemas.openxmlformats.org/officeDocument/2006/relationships/hyperlink" Target="https://uzt.lt/" TargetMode="External"/><Relationship Id="rId93" Type="http://schemas.openxmlformats.org/officeDocument/2006/relationships/hyperlink" Target="https://ligoniukasa.lrv.lt/" TargetMode="External"/><Relationship Id="rId94" Type="http://schemas.openxmlformats.org/officeDocument/2006/relationships/hyperlink" Target="https://www.lsa.lt/" TargetMode="External"/><Relationship Id="rId95" Type="http://schemas.openxmlformats.org/officeDocument/2006/relationships/hyperlink" Target="https://www.transparency.lt/" TargetMode="External"/><Relationship Id="rId96" Type="http://schemas.openxmlformats.org/officeDocument/2006/relationships/hyperlink" Target="https://www.llri.lt/" TargetMode="External"/><Relationship Id="rId9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23.8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1" t="s">
        <v>3</v>
      </c>
    </row>
    <row r="7" customFormat="false" ht="23.85" hidden="false" customHeight="false" outlineLevel="0" collapsed="false">
      <c r="A7" s="2" t="s">
        <v>4</v>
      </c>
    </row>
    <row r="8" customFormat="false" ht="23.8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/>
    </row>
    <row r="13" customFormat="false" ht="15" hidden="false" customHeight="false" outlineLevel="0" collapsed="false">
      <c r="A13" s="1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/>
    </row>
    <row r="17" customFormat="false" ht="15" hidden="false" customHeight="false" outlineLevel="0" collapsed="false">
      <c r="A17" s="1" t="s">
        <v>12</v>
      </c>
    </row>
    <row r="18" customFormat="false" ht="23.85" hidden="false" customHeight="false" outlineLevel="0" collapsed="false">
      <c r="A18" s="2" t="s">
        <v>13</v>
      </c>
    </row>
    <row r="19" customFormat="false" ht="23.8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1" t="s">
        <v>15</v>
      </c>
    </row>
    <row r="22" customFormat="false" ht="15" hidden="false" customHeight="false" outlineLevel="0" collapsed="false">
      <c r="A22" s="2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7" min="7" style="0" width="14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16"/>
    <col collapsed="false" customWidth="true" hidden="false" outlineLevel="0" max="12" min="12" style="0" width="52"/>
  </cols>
  <sheetData>
    <row r="1" customFormat="false" ht="42" hidden="false" customHeight="true" outlineLevel="0" collapsed="false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25</v>
      </c>
      <c r="H1" s="3" t="s">
        <v>26</v>
      </c>
      <c r="I1" s="3" t="s">
        <v>27</v>
      </c>
      <c r="J1" s="3" t="s">
        <v>28</v>
      </c>
      <c r="K1" s="3" t="s">
        <v>29</v>
      </c>
      <c r="L1" s="3" t="s">
        <v>30</v>
      </c>
    </row>
    <row r="2" customFormat="false" ht="23.85" hidden="false" customHeight="false" outlineLevel="0" collapsed="false">
      <c r="A2" s="4" t="n">
        <v>1</v>
      </c>
      <c r="B2" s="4" t="s">
        <v>31</v>
      </c>
      <c r="C2" s="4" t="s">
        <v>32</v>
      </c>
      <c r="D2" s="4" t="s">
        <v>33</v>
      </c>
      <c r="E2" s="5" t="s">
        <v>34</v>
      </c>
      <c r="F2" s="6"/>
      <c r="G2" s="4" t="s">
        <v>35</v>
      </c>
      <c r="H2" s="4" t="s">
        <v>36</v>
      </c>
      <c r="I2" s="6"/>
      <c r="J2" s="6"/>
      <c r="K2" s="7"/>
      <c r="L2" s="4" t="s">
        <v>37</v>
      </c>
    </row>
    <row r="3" customFormat="false" ht="23.85" hidden="false" customHeight="false" outlineLevel="0" collapsed="false">
      <c r="A3" s="4" t="n">
        <v>2</v>
      </c>
      <c r="B3" s="4" t="s">
        <v>31</v>
      </c>
      <c r="C3" s="4" t="s">
        <v>38</v>
      </c>
      <c r="D3" s="4" t="s">
        <v>33</v>
      </c>
      <c r="E3" s="5" t="s">
        <v>39</v>
      </c>
      <c r="F3" s="6"/>
      <c r="G3" s="4" t="s">
        <v>40</v>
      </c>
      <c r="H3" s="4" t="s">
        <v>41</v>
      </c>
      <c r="I3" s="6"/>
      <c r="J3" s="6"/>
      <c r="K3" s="7"/>
      <c r="L3" s="4" t="s">
        <v>42</v>
      </c>
    </row>
    <row r="4" customFormat="false" ht="15" hidden="false" customHeight="false" outlineLevel="0" collapsed="false">
      <c r="A4" s="4" t="n">
        <v>3</v>
      </c>
      <c r="B4" s="4" t="s">
        <v>31</v>
      </c>
      <c r="C4" s="4" t="s">
        <v>43</v>
      </c>
      <c r="D4" s="4" t="s">
        <v>33</v>
      </c>
      <c r="E4" s="5" t="s">
        <v>44</v>
      </c>
      <c r="F4" s="6"/>
      <c r="G4" s="4" t="s">
        <v>35</v>
      </c>
      <c r="H4" s="4" t="s">
        <v>36</v>
      </c>
      <c r="I4" s="6"/>
      <c r="J4" s="6"/>
      <c r="K4" s="7"/>
      <c r="L4" s="4" t="s">
        <v>45</v>
      </c>
    </row>
    <row r="5" customFormat="false" ht="23.85" hidden="false" customHeight="false" outlineLevel="0" collapsed="false">
      <c r="A5" s="4" t="n">
        <v>4</v>
      </c>
      <c r="B5" s="4" t="s">
        <v>31</v>
      </c>
      <c r="C5" s="4" t="s">
        <v>46</v>
      </c>
      <c r="D5" s="4" t="s">
        <v>33</v>
      </c>
      <c r="E5" s="5" t="s">
        <v>47</v>
      </c>
      <c r="F5" s="6"/>
      <c r="G5" s="4" t="s">
        <v>35</v>
      </c>
      <c r="H5" s="4" t="s">
        <v>36</v>
      </c>
      <c r="I5" s="6"/>
      <c r="J5" s="6"/>
      <c r="K5" s="7"/>
      <c r="L5" s="4" t="s">
        <v>48</v>
      </c>
    </row>
    <row r="6" customFormat="false" ht="15" hidden="false" customHeight="false" outlineLevel="0" collapsed="false">
      <c r="A6" s="4" t="n">
        <v>5</v>
      </c>
      <c r="B6" s="4" t="s">
        <v>31</v>
      </c>
      <c r="C6" s="4" t="s">
        <v>49</v>
      </c>
      <c r="D6" s="4" t="s">
        <v>33</v>
      </c>
      <c r="E6" s="5" t="s">
        <v>50</v>
      </c>
      <c r="F6" s="6"/>
      <c r="G6" s="4" t="s">
        <v>35</v>
      </c>
      <c r="H6" s="4" t="s">
        <v>36</v>
      </c>
      <c r="I6" s="6"/>
      <c r="J6" s="6"/>
      <c r="K6" s="7"/>
      <c r="L6" s="4" t="s">
        <v>51</v>
      </c>
    </row>
    <row r="7" customFormat="false" ht="15" hidden="false" customHeight="false" outlineLevel="0" collapsed="false">
      <c r="A7" s="4" t="n">
        <v>6</v>
      </c>
      <c r="B7" s="4" t="s">
        <v>31</v>
      </c>
      <c r="C7" s="4" t="s">
        <v>52</v>
      </c>
      <c r="D7" s="4" t="s">
        <v>33</v>
      </c>
      <c r="E7" s="5" t="s">
        <v>53</v>
      </c>
      <c r="F7" s="6"/>
      <c r="G7" s="4" t="s">
        <v>35</v>
      </c>
      <c r="H7" s="4" t="s">
        <v>36</v>
      </c>
      <c r="I7" s="6"/>
      <c r="J7" s="6"/>
      <c r="K7" s="7"/>
      <c r="L7" s="4" t="s">
        <v>54</v>
      </c>
    </row>
    <row r="8" customFormat="false" ht="15" hidden="false" customHeight="false" outlineLevel="0" collapsed="false">
      <c r="A8" s="4" t="n">
        <v>7</v>
      </c>
      <c r="B8" s="4" t="s">
        <v>31</v>
      </c>
      <c r="C8" s="4" t="s">
        <v>55</v>
      </c>
      <c r="D8" s="4" t="s">
        <v>33</v>
      </c>
      <c r="E8" s="5" t="s">
        <v>56</v>
      </c>
      <c r="F8" s="6"/>
      <c r="G8" s="4" t="s">
        <v>35</v>
      </c>
      <c r="H8" s="4" t="s">
        <v>41</v>
      </c>
      <c r="I8" s="6"/>
      <c r="J8" s="6"/>
      <c r="K8" s="7"/>
      <c r="L8" s="4" t="s">
        <v>57</v>
      </c>
    </row>
    <row r="9" customFormat="false" ht="15" hidden="false" customHeight="false" outlineLevel="0" collapsed="false">
      <c r="A9" s="4" t="n">
        <v>8</v>
      </c>
      <c r="B9" s="4" t="s">
        <v>31</v>
      </c>
      <c r="C9" s="4" t="s">
        <v>58</v>
      </c>
      <c r="D9" s="4" t="s">
        <v>33</v>
      </c>
      <c r="E9" s="5" t="s">
        <v>59</v>
      </c>
      <c r="F9" s="6"/>
      <c r="G9" s="4" t="s">
        <v>35</v>
      </c>
      <c r="H9" s="4" t="s">
        <v>36</v>
      </c>
      <c r="I9" s="6"/>
      <c r="J9" s="6"/>
      <c r="K9" s="7"/>
      <c r="L9" s="4" t="s">
        <v>60</v>
      </c>
    </row>
    <row r="10" customFormat="false" ht="23.85" hidden="false" customHeight="false" outlineLevel="0" collapsed="false">
      <c r="A10" s="4" t="n">
        <v>9</v>
      </c>
      <c r="B10" s="4" t="s">
        <v>31</v>
      </c>
      <c r="C10" s="4" t="s">
        <v>61</v>
      </c>
      <c r="D10" s="4" t="s">
        <v>33</v>
      </c>
      <c r="E10" s="5" t="s">
        <v>62</v>
      </c>
      <c r="F10" s="6"/>
      <c r="G10" s="4" t="s">
        <v>35</v>
      </c>
      <c r="H10" s="4" t="s">
        <v>36</v>
      </c>
      <c r="I10" s="6"/>
      <c r="J10" s="6"/>
      <c r="K10" s="7"/>
      <c r="L10" s="4" t="s">
        <v>63</v>
      </c>
    </row>
    <row r="11" customFormat="false" ht="23.85" hidden="false" customHeight="false" outlineLevel="0" collapsed="false">
      <c r="A11" s="4" t="n">
        <v>10</v>
      </c>
      <c r="B11" s="4" t="s">
        <v>31</v>
      </c>
      <c r="C11" s="4" t="s">
        <v>64</v>
      </c>
      <c r="D11" s="4" t="s">
        <v>65</v>
      </c>
      <c r="E11" s="5" t="s">
        <v>66</v>
      </c>
      <c r="F11" s="6"/>
      <c r="G11" s="4" t="s">
        <v>35</v>
      </c>
      <c r="H11" s="4" t="s">
        <v>41</v>
      </c>
      <c r="I11" s="6"/>
      <c r="J11" s="6"/>
      <c r="K11" s="7"/>
      <c r="L11" s="4" t="s">
        <v>67</v>
      </c>
    </row>
    <row r="12" customFormat="false" ht="15" hidden="false" customHeight="false" outlineLevel="0" collapsed="false">
      <c r="A12" s="4" t="n">
        <v>11</v>
      </c>
      <c r="B12" s="4" t="s">
        <v>68</v>
      </c>
      <c r="C12" s="4" t="s">
        <v>69</v>
      </c>
      <c r="D12" s="4" t="s">
        <v>70</v>
      </c>
      <c r="E12" s="5" t="s">
        <v>71</v>
      </c>
      <c r="F12" s="6"/>
      <c r="G12" s="4" t="s">
        <v>35</v>
      </c>
      <c r="H12" s="4" t="s">
        <v>36</v>
      </c>
      <c r="I12" s="6"/>
      <c r="J12" s="6"/>
      <c r="K12" s="7"/>
      <c r="L12" s="4" t="s">
        <v>72</v>
      </c>
    </row>
    <row r="13" customFormat="false" ht="15" hidden="false" customHeight="false" outlineLevel="0" collapsed="false">
      <c r="A13" s="4" t="n">
        <v>12</v>
      </c>
      <c r="B13" s="4" t="s">
        <v>68</v>
      </c>
      <c r="C13" s="4" t="s">
        <v>73</v>
      </c>
      <c r="D13" s="4" t="s">
        <v>74</v>
      </c>
      <c r="E13" s="5" t="s">
        <v>75</v>
      </c>
      <c r="F13" s="6"/>
      <c r="G13" s="4" t="s">
        <v>35</v>
      </c>
      <c r="H13" s="4" t="s">
        <v>41</v>
      </c>
      <c r="I13" s="6"/>
      <c r="J13" s="6"/>
      <c r="K13" s="7"/>
      <c r="L13" s="4" t="s">
        <v>76</v>
      </c>
    </row>
    <row r="14" customFormat="false" ht="15" hidden="false" customHeight="false" outlineLevel="0" collapsed="false">
      <c r="A14" s="4" t="n">
        <v>13</v>
      </c>
      <c r="B14" s="4" t="s">
        <v>68</v>
      </c>
      <c r="C14" s="4" t="s">
        <v>77</v>
      </c>
      <c r="D14" s="4" t="s">
        <v>78</v>
      </c>
      <c r="E14" s="5" t="s">
        <v>79</v>
      </c>
      <c r="F14" s="6"/>
      <c r="G14" s="4" t="s">
        <v>40</v>
      </c>
      <c r="H14" s="4" t="s">
        <v>41</v>
      </c>
      <c r="I14" s="6"/>
      <c r="J14" s="6"/>
      <c r="K14" s="7"/>
      <c r="L14" s="4" t="s">
        <v>80</v>
      </c>
    </row>
    <row r="15" customFormat="false" ht="15" hidden="false" customHeight="false" outlineLevel="0" collapsed="false">
      <c r="A15" s="4" t="n">
        <v>14</v>
      </c>
      <c r="B15" s="4" t="s">
        <v>68</v>
      </c>
      <c r="C15" s="4" t="s">
        <v>81</v>
      </c>
      <c r="D15" s="4" t="s">
        <v>82</v>
      </c>
      <c r="E15" s="5" t="s">
        <v>83</v>
      </c>
      <c r="F15" s="6"/>
      <c r="G15" s="4" t="s">
        <v>40</v>
      </c>
      <c r="H15" s="4" t="s">
        <v>41</v>
      </c>
      <c r="I15" s="6"/>
      <c r="J15" s="6"/>
      <c r="K15" s="7"/>
      <c r="L15" s="4" t="s">
        <v>84</v>
      </c>
    </row>
    <row r="16" customFormat="false" ht="23.85" hidden="false" customHeight="false" outlineLevel="0" collapsed="false">
      <c r="A16" s="4" t="n">
        <v>15</v>
      </c>
      <c r="B16" s="4" t="s">
        <v>85</v>
      </c>
      <c r="C16" s="4" t="s">
        <v>86</v>
      </c>
      <c r="D16" s="4" t="s">
        <v>87</v>
      </c>
      <c r="E16" s="5" t="s">
        <v>88</v>
      </c>
      <c r="F16" s="6"/>
      <c r="G16" s="4" t="s">
        <v>35</v>
      </c>
      <c r="H16" s="4" t="s">
        <v>41</v>
      </c>
      <c r="I16" s="6"/>
      <c r="J16" s="6"/>
      <c r="K16" s="7"/>
      <c r="L16" s="4" t="s">
        <v>89</v>
      </c>
    </row>
    <row r="17" customFormat="false" ht="15" hidden="false" customHeight="false" outlineLevel="0" collapsed="false">
      <c r="A17" s="4" t="n">
        <v>16</v>
      </c>
      <c r="B17" s="4" t="s">
        <v>85</v>
      </c>
      <c r="C17" s="4" t="s">
        <v>90</v>
      </c>
      <c r="D17" s="4" t="s">
        <v>87</v>
      </c>
      <c r="E17" s="5" t="s">
        <v>91</v>
      </c>
      <c r="F17" s="6"/>
      <c r="G17" s="4" t="s">
        <v>40</v>
      </c>
      <c r="H17" s="4" t="s">
        <v>41</v>
      </c>
      <c r="I17" s="6"/>
      <c r="J17" s="6"/>
      <c r="K17" s="7"/>
      <c r="L17" s="4" t="s">
        <v>92</v>
      </c>
    </row>
    <row r="18" customFormat="false" ht="23.85" hidden="false" customHeight="false" outlineLevel="0" collapsed="false">
      <c r="A18" s="4" t="n">
        <v>17</v>
      </c>
      <c r="B18" s="4" t="s">
        <v>85</v>
      </c>
      <c r="C18" s="4" t="s">
        <v>93</v>
      </c>
      <c r="D18" s="4" t="s">
        <v>94</v>
      </c>
      <c r="E18" s="5" t="s">
        <v>95</v>
      </c>
      <c r="F18" s="6"/>
      <c r="G18" s="4" t="s">
        <v>35</v>
      </c>
      <c r="H18" s="4" t="s">
        <v>41</v>
      </c>
      <c r="I18" s="6"/>
      <c r="J18" s="6"/>
      <c r="K18" s="7"/>
      <c r="L18" s="4" t="s">
        <v>96</v>
      </c>
    </row>
    <row r="19" customFormat="false" ht="23.85" hidden="false" customHeight="false" outlineLevel="0" collapsed="false">
      <c r="A19" s="4" t="n">
        <v>18</v>
      </c>
      <c r="B19" s="4" t="s">
        <v>97</v>
      </c>
      <c r="C19" s="4" t="s">
        <v>98</v>
      </c>
      <c r="D19" s="4" t="s">
        <v>99</v>
      </c>
      <c r="E19" s="5" t="s">
        <v>100</v>
      </c>
      <c r="F19" s="6"/>
      <c r="G19" s="4" t="s">
        <v>35</v>
      </c>
      <c r="H19" s="4" t="s">
        <v>36</v>
      </c>
      <c r="I19" s="6"/>
      <c r="J19" s="6"/>
      <c r="K19" s="7"/>
      <c r="L19" s="4"/>
    </row>
    <row r="20" customFormat="false" ht="23.85" hidden="false" customHeight="false" outlineLevel="0" collapsed="false">
      <c r="A20" s="4" t="n">
        <v>19</v>
      </c>
      <c r="B20" s="4" t="s">
        <v>97</v>
      </c>
      <c r="C20" s="4" t="s">
        <v>101</v>
      </c>
      <c r="D20" s="4" t="s">
        <v>102</v>
      </c>
      <c r="E20" s="5" t="s">
        <v>103</v>
      </c>
      <c r="F20" s="6"/>
      <c r="G20" s="4" t="s">
        <v>35</v>
      </c>
      <c r="H20" s="4" t="s">
        <v>36</v>
      </c>
      <c r="I20" s="6"/>
      <c r="J20" s="6"/>
      <c r="K20" s="7"/>
      <c r="L20" s="4"/>
    </row>
    <row r="21" customFormat="false" ht="23.85" hidden="false" customHeight="false" outlineLevel="0" collapsed="false">
      <c r="A21" s="4" t="n">
        <v>20</v>
      </c>
      <c r="B21" s="4" t="s">
        <v>97</v>
      </c>
      <c r="C21" s="4" t="s">
        <v>104</v>
      </c>
      <c r="D21" s="4" t="s">
        <v>102</v>
      </c>
      <c r="E21" s="5" t="s">
        <v>105</v>
      </c>
      <c r="F21" s="6"/>
      <c r="G21" s="4" t="s">
        <v>35</v>
      </c>
      <c r="H21" s="4" t="s">
        <v>36</v>
      </c>
      <c r="I21" s="6"/>
      <c r="J21" s="6"/>
      <c r="K21" s="7"/>
      <c r="L21" s="4" t="s">
        <v>106</v>
      </c>
    </row>
    <row r="22" customFormat="false" ht="23.85" hidden="false" customHeight="false" outlineLevel="0" collapsed="false">
      <c r="A22" s="4" t="n">
        <v>21</v>
      </c>
      <c r="B22" s="4" t="s">
        <v>97</v>
      </c>
      <c r="C22" s="4" t="s">
        <v>107</v>
      </c>
      <c r="D22" s="4" t="s">
        <v>108</v>
      </c>
      <c r="E22" s="5" t="s">
        <v>109</v>
      </c>
      <c r="F22" s="6"/>
      <c r="G22" s="4" t="s">
        <v>35</v>
      </c>
      <c r="H22" s="4" t="s">
        <v>36</v>
      </c>
      <c r="I22" s="6"/>
      <c r="J22" s="6"/>
      <c r="K22" s="7"/>
      <c r="L22" s="4"/>
    </row>
    <row r="23" customFormat="false" ht="23.85" hidden="false" customHeight="false" outlineLevel="0" collapsed="false">
      <c r="A23" s="4" t="n">
        <v>22</v>
      </c>
      <c r="B23" s="4" t="s">
        <v>97</v>
      </c>
      <c r="C23" s="4" t="s">
        <v>110</v>
      </c>
      <c r="D23" s="4" t="s">
        <v>111</v>
      </c>
      <c r="E23" s="5" t="s">
        <v>112</v>
      </c>
      <c r="F23" s="6"/>
      <c r="G23" s="4" t="s">
        <v>40</v>
      </c>
      <c r="H23" s="4" t="s">
        <v>36</v>
      </c>
      <c r="I23" s="6"/>
      <c r="J23" s="6"/>
      <c r="K23" s="7"/>
      <c r="L23" s="4"/>
    </row>
    <row r="24" customFormat="false" ht="23.85" hidden="false" customHeight="false" outlineLevel="0" collapsed="false">
      <c r="A24" s="4" t="n">
        <v>23</v>
      </c>
      <c r="B24" s="4" t="s">
        <v>97</v>
      </c>
      <c r="C24" s="4" t="s">
        <v>113</v>
      </c>
      <c r="D24" s="4" t="s">
        <v>108</v>
      </c>
      <c r="E24" s="5" t="s">
        <v>114</v>
      </c>
      <c r="F24" s="6"/>
      <c r="G24" s="4" t="s">
        <v>35</v>
      </c>
      <c r="H24" s="4" t="s">
        <v>41</v>
      </c>
      <c r="I24" s="6"/>
      <c r="J24" s="6"/>
      <c r="K24" s="7"/>
      <c r="L24" s="4" t="s">
        <v>115</v>
      </c>
    </row>
    <row r="25" customFormat="false" ht="23.85" hidden="false" customHeight="false" outlineLevel="0" collapsed="false">
      <c r="A25" s="4" t="n">
        <v>24</v>
      </c>
      <c r="B25" s="4" t="s">
        <v>97</v>
      </c>
      <c r="C25" s="4" t="s">
        <v>116</v>
      </c>
      <c r="D25" s="4" t="s">
        <v>117</v>
      </c>
      <c r="E25" s="5" t="s">
        <v>118</v>
      </c>
      <c r="F25" s="6"/>
      <c r="G25" s="4" t="s">
        <v>35</v>
      </c>
      <c r="H25" s="4" t="s">
        <v>41</v>
      </c>
      <c r="I25" s="6"/>
      <c r="J25" s="6"/>
      <c r="K25" s="7"/>
      <c r="L25" s="4" t="s">
        <v>115</v>
      </c>
    </row>
    <row r="26" customFormat="false" ht="23.85" hidden="false" customHeight="false" outlineLevel="0" collapsed="false">
      <c r="A26" s="4" t="n">
        <v>25</v>
      </c>
      <c r="B26" s="4" t="s">
        <v>97</v>
      </c>
      <c r="C26" s="4" t="s">
        <v>119</v>
      </c>
      <c r="D26" s="4" t="s">
        <v>120</v>
      </c>
      <c r="E26" s="5" t="s">
        <v>121</v>
      </c>
      <c r="F26" s="6"/>
      <c r="G26" s="4" t="s">
        <v>35</v>
      </c>
      <c r="H26" s="4" t="s">
        <v>41</v>
      </c>
      <c r="I26" s="6"/>
      <c r="J26" s="6"/>
      <c r="K26" s="7"/>
      <c r="L26" s="4" t="s">
        <v>115</v>
      </c>
    </row>
    <row r="27" customFormat="false" ht="23.85" hidden="false" customHeight="false" outlineLevel="0" collapsed="false">
      <c r="A27" s="4" t="n">
        <v>26</v>
      </c>
      <c r="B27" s="4" t="s">
        <v>97</v>
      </c>
      <c r="C27" s="4" t="s">
        <v>122</v>
      </c>
      <c r="D27" s="4" t="s">
        <v>123</v>
      </c>
      <c r="E27" s="5" t="s">
        <v>124</v>
      </c>
      <c r="F27" s="6"/>
      <c r="G27" s="4" t="s">
        <v>35</v>
      </c>
      <c r="H27" s="4" t="s">
        <v>41</v>
      </c>
      <c r="I27" s="6"/>
      <c r="J27" s="6"/>
      <c r="K27" s="7"/>
      <c r="L27" s="4" t="s">
        <v>115</v>
      </c>
    </row>
    <row r="28" customFormat="false" ht="15" hidden="false" customHeight="false" outlineLevel="0" collapsed="false">
      <c r="A28" s="4" t="n">
        <v>27</v>
      </c>
      <c r="B28" s="4" t="s">
        <v>125</v>
      </c>
      <c r="C28" s="4" t="s">
        <v>126</v>
      </c>
      <c r="D28" s="4" t="s">
        <v>127</v>
      </c>
      <c r="E28" s="5" t="s">
        <v>128</v>
      </c>
      <c r="F28" s="6"/>
      <c r="G28" s="4" t="s">
        <v>35</v>
      </c>
      <c r="H28" s="4" t="s">
        <v>41</v>
      </c>
      <c r="I28" s="6"/>
      <c r="J28" s="6"/>
      <c r="K28" s="7"/>
      <c r="L28" s="4" t="s">
        <v>106</v>
      </c>
    </row>
    <row r="29" customFormat="false" ht="15" hidden="false" customHeight="false" outlineLevel="0" collapsed="false">
      <c r="A29" s="4" t="n">
        <v>28</v>
      </c>
      <c r="B29" s="4" t="s">
        <v>125</v>
      </c>
      <c r="C29" s="4" t="s">
        <v>129</v>
      </c>
      <c r="D29" s="4" t="s">
        <v>130</v>
      </c>
      <c r="E29" s="5" t="s">
        <v>131</v>
      </c>
      <c r="F29" s="6"/>
      <c r="G29" s="4" t="s">
        <v>35</v>
      </c>
      <c r="H29" s="4" t="s">
        <v>41</v>
      </c>
      <c r="I29" s="6"/>
      <c r="J29" s="6"/>
      <c r="K29" s="7"/>
      <c r="L29" s="4" t="s">
        <v>106</v>
      </c>
    </row>
    <row r="30" customFormat="false" ht="15" hidden="false" customHeight="false" outlineLevel="0" collapsed="false">
      <c r="A30" s="4" t="n">
        <v>29</v>
      </c>
      <c r="B30" s="4" t="s">
        <v>125</v>
      </c>
      <c r="C30" s="4" t="s">
        <v>132</v>
      </c>
      <c r="D30" s="4" t="s">
        <v>133</v>
      </c>
      <c r="E30" s="5" t="s">
        <v>134</v>
      </c>
      <c r="F30" s="6"/>
      <c r="G30" s="4" t="s">
        <v>35</v>
      </c>
      <c r="H30" s="4" t="s">
        <v>41</v>
      </c>
      <c r="I30" s="6"/>
      <c r="J30" s="6"/>
      <c r="K30" s="7"/>
      <c r="L30" s="4" t="s">
        <v>106</v>
      </c>
    </row>
    <row r="31" customFormat="false" ht="15" hidden="false" customHeight="false" outlineLevel="0" collapsed="false">
      <c r="A31" s="4" t="n">
        <v>30</v>
      </c>
      <c r="B31" s="4" t="s">
        <v>125</v>
      </c>
      <c r="C31" s="4" t="s">
        <v>135</v>
      </c>
      <c r="D31" s="4" t="s">
        <v>136</v>
      </c>
      <c r="E31" s="5" t="s">
        <v>137</v>
      </c>
      <c r="F31" s="6"/>
      <c r="G31" s="4" t="s">
        <v>35</v>
      </c>
      <c r="H31" s="4" t="s">
        <v>41</v>
      </c>
      <c r="I31" s="6"/>
      <c r="J31" s="6"/>
      <c r="K31" s="7"/>
      <c r="L31" s="4" t="s">
        <v>106</v>
      </c>
    </row>
    <row r="32" customFormat="false" ht="15" hidden="false" customHeight="false" outlineLevel="0" collapsed="false">
      <c r="A32" s="4" t="n">
        <v>31</v>
      </c>
      <c r="B32" s="4" t="s">
        <v>125</v>
      </c>
      <c r="C32" s="4" t="s">
        <v>138</v>
      </c>
      <c r="D32" s="4" t="s">
        <v>139</v>
      </c>
      <c r="E32" s="5" t="s">
        <v>140</v>
      </c>
      <c r="F32" s="6"/>
      <c r="G32" s="4" t="s">
        <v>35</v>
      </c>
      <c r="H32" s="4" t="s">
        <v>41</v>
      </c>
      <c r="I32" s="6"/>
      <c r="J32" s="6"/>
      <c r="K32" s="7"/>
      <c r="L32" s="4" t="s">
        <v>106</v>
      </c>
    </row>
    <row r="33" customFormat="false" ht="15" hidden="false" customHeight="false" outlineLevel="0" collapsed="false">
      <c r="A33" s="4" t="n">
        <v>32</v>
      </c>
      <c r="B33" s="4" t="s">
        <v>125</v>
      </c>
      <c r="C33" s="4" t="s">
        <v>141</v>
      </c>
      <c r="D33" s="4" t="s">
        <v>142</v>
      </c>
      <c r="E33" s="5" t="s">
        <v>143</v>
      </c>
      <c r="F33" s="6"/>
      <c r="G33" s="4" t="s">
        <v>35</v>
      </c>
      <c r="H33" s="4" t="s">
        <v>41</v>
      </c>
      <c r="I33" s="6"/>
      <c r="J33" s="6"/>
      <c r="K33" s="7"/>
      <c r="L33" s="4" t="s">
        <v>106</v>
      </c>
    </row>
    <row r="34" customFormat="false" ht="15" hidden="false" customHeight="false" outlineLevel="0" collapsed="false">
      <c r="A34" s="4" t="n">
        <v>33</v>
      </c>
      <c r="B34" s="4" t="s">
        <v>125</v>
      </c>
      <c r="C34" s="4" t="s">
        <v>144</v>
      </c>
      <c r="D34" s="4" t="s">
        <v>145</v>
      </c>
      <c r="E34" s="5" t="s">
        <v>146</v>
      </c>
      <c r="F34" s="6"/>
      <c r="G34" s="4" t="s">
        <v>35</v>
      </c>
      <c r="H34" s="4" t="s">
        <v>41</v>
      </c>
      <c r="I34" s="6"/>
      <c r="J34" s="6"/>
      <c r="K34" s="7"/>
      <c r="L34" s="4" t="s">
        <v>106</v>
      </c>
    </row>
    <row r="35" customFormat="false" ht="15" hidden="false" customHeight="false" outlineLevel="0" collapsed="false">
      <c r="A35" s="4" t="n">
        <v>34</v>
      </c>
      <c r="B35" s="4" t="s">
        <v>125</v>
      </c>
      <c r="C35" s="4" t="s">
        <v>147</v>
      </c>
      <c r="D35" s="4" t="s">
        <v>148</v>
      </c>
      <c r="E35" s="5" t="s">
        <v>149</v>
      </c>
      <c r="F35" s="6"/>
      <c r="G35" s="4" t="s">
        <v>35</v>
      </c>
      <c r="H35" s="4" t="s">
        <v>41</v>
      </c>
      <c r="I35" s="6"/>
      <c r="J35" s="6"/>
      <c r="K35" s="7"/>
      <c r="L35" s="4" t="s">
        <v>106</v>
      </c>
    </row>
    <row r="36" customFormat="false" ht="15" hidden="false" customHeight="false" outlineLevel="0" collapsed="false">
      <c r="A36" s="4" t="n">
        <v>35</v>
      </c>
      <c r="B36" s="4" t="s">
        <v>125</v>
      </c>
      <c r="C36" s="4" t="s">
        <v>150</v>
      </c>
      <c r="D36" s="4" t="s">
        <v>151</v>
      </c>
      <c r="E36" s="5" t="s">
        <v>152</v>
      </c>
      <c r="F36" s="6"/>
      <c r="G36" s="4" t="s">
        <v>35</v>
      </c>
      <c r="H36" s="4" t="s">
        <v>41</v>
      </c>
      <c r="I36" s="6"/>
      <c r="J36" s="6"/>
      <c r="K36" s="7"/>
      <c r="L36" s="4" t="s">
        <v>106</v>
      </c>
    </row>
    <row r="37" customFormat="false" ht="15" hidden="false" customHeight="false" outlineLevel="0" collapsed="false">
      <c r="A37" s="4" t="n">
        <v>36</v>
      </c>
      <c r="B37" s="4" t="s">
        <v>125</v>
      </c>
      <c r="C37" s="4" t="s">
        <v>153</v>
      </c>
      <c r="D37" s="4" t="s">
        <v>154</v>
      </c>
      <c r="E37" s="5" t="s">
        <v>155</v>
      </c>
      <c r="F37" s="6"/>
      <c r="G37" s="4" t="s">
        <v>35</v>
      </c>
      <c r="H37" s="4" t="s">
        <v>41</v>
      </c>
      <c r="I37" s="6"/>
      <c r="J37" s="6"/>
      <c r="K37" s="7"/>
      <c r="L37" s="4" t="s">
        <v>106</v>
      </c>
    </row>
    <row r="38" customFormat="false" ht="15" hidden="false" customHeight="false" outlineLevel="0" collapsed="false">
      <c r="A38" s="4" t="n">
        <v>37</v>
      </c>
      <c r="B38" s="4" t="s">
        <v>125</v>
      </c>
      <c r="C38" s="4" t="s">
        <v>156</v>
      </c>
      <c r="D38" s="4" t="s">
        <v>157</v>
      </c>
      <c r="E38" s="5" t="s">
        <v>158</v>
      </c>
      <c r="F38" s="6"/>
      <c r="G38" s="4" t="s">
        <v>35</v>
      </c>
      <c r="H38" s="4" t="s">
        <v>41</v>
      </c>
      <c r="I38" s="6"/>
      <c r="J38" s="6"/>
      <c r="K38" s="7"/>
      <c r="L38" s="4" t="s">
        <v>106</v>
      </c>
    </row>
    <row r="39" customFormat="false" ht="15" hidden="false" customHeight="false" outlineLevel="0" collapsed="false">
      <c r="A39" s="4" t="n">
        <v>38</v>
      </c>
      <c r="B39" s="4" t="s">
        <v>125</v>
      </c>
      <c r="C39" s="4" t="s">
        <v>159</v>
      </c>
      <c r="D39" s="4" t="s">
        <v>160</v>
      </c>
      <c r="E39" s="5" t="s">
        <v>161</v>
      </c>
      <c r="F39" s="6"/>
      <c r="G39" s="4" t="s">
        <v>35</v>
      </c>
      <c r="H39" s="4" t="s">
        <v>41</v>
      </c>
      <c r="I39" s="6"/>
      <c r="J39" s="6"/>
      <c r="K39" s="7"/>
      <c r="L39" s="4" t="s">
        <v>106</v>
      </c>
    </row>
    <row r="40" customFormat="false" ht="15" hidden="false" customHeight="false" outlineLevel="0" collapsed="false">
      <c r="A40" s="4" t="n">
        <v>39</v>
      </c>
      <c r="B40" s="4" t="s">
        <v>125</v>
      </c>
      <c r="C40" s="4" t="s">
        <v>162</v>
      </c>
      <c r="D40" s="4" t="s">
        <v>163</v>
      </c>
      <c r="E40" s="5" t="s">
        <v>164</v>
      </c>
      <c r="F40" s="6"/>
      <c r="G40" s="4" t="s">
        <v>35</v>
      </c>
      <c r="H40" s="4" t="s">
        <v>41</v>
      </c>
      <c r="I40" s="6"/>
      <c r="J40" s="6"/>
      <c r="K40" s="7"/>
      <c r="L40" s="4" t="s">
        <v>106</v>
      </c>
    </row>
    <row r="41" customFormat="false" ht="15" hidden="false" customHeight="false" outlineLevel="0" collapsed="false">
      <c r="A41" s="4" t="n">
        <v>40</v>
      </c>
      <c r="B41" s="4" t="s">
        <v>125</v>
      </c>
      <c r="C41" s="4" t="s">
        <v>165</v>
      </c>
      <c r="D41" s="4" t="s">
        <v>166</v>
      </c>
      <c r="E41" s="5" t="s">
        <v>167</v>
      </c>
      <c r="F41" s="6"/>
      <c r="G41" s="4" t="s">
        <v>35</v>
      </c>
      <c r="H41" s="4" t="s">
        <v>41</v>
      </c>
      <c r="I41" s="6"/>
      <c r="J41" s="6"/>
      <c r="K41" s="7"/>
      <c r="L41" s="4" t="s">
        <v>106</v>
      </c>
    </row>
    <row r="42" customFormat="false" ht="15" hidden="false" customHeight="false" outlineLevel="0" collapsed="false">
      <c r="A42" s="4" t="n">
        <v>41</v>
      </c>
      <c r="B42" s="4" t="s">
        <v>125</v>
      </c>
      <c r="C42" s="4" t="s">
        <v>168</v>
      </c>
      <c r="D42" s="4" t="s">
        <v>169</v>
      </c>
      <c r="E42" s="5" t="s">
        <v>170</v>
      </c>
      <c r="F42" s="6"/>
      <c r="G42" s="4" t="s">
        <v>35</v>
      </c>
      <c r="H42" s="4" t="s">
        <v>41</v>
      </c>
      <c r="I42" s="6"/>
      <c r="J42" s="6"/>
      <c r="K42" s="7"/>
      <c r="L42" s="4" t="s">
        <v>106</v>
      </c>
    </row>
    <row r="43" customFormat="false" ht="15" hidden="false" customHeight="false" outlineLevel="0" collapsed="false">
      <c r="A43" s="4" t="n">
        <v>42</v>
      </c>
      <c r="B43" s="4" t="s">
        <v>125</v>
      </c>
      <c r="C43" s="4" t="s">
        <v>171</v>
      </c>
      <c r="D43" s="4" t="s">
        <v>172</v>
      </c>
      <c r="E43" s="5" t="s">
        <v>173</v>
      </c>
      <c r="F43" s="6"/>
      <c r="G43" s="4" t="s">
        <v>35</v>
      </c>
      <c r="H43" s="4" t="s">
        <v>41</v>
      </c>
      <c r="I43" s="6"/>
      <c r="J43" s="6"/>
      <c r="K43" s="7"/>
      <c r="L43" s="4" t="s">
        <v>106</v>
      </c>
    </row>
    <row r="44" customFormat="false" ht="15" hidden="false" customHeight="false" outlineLevel="0" collapsed="false">
      <c r="A44" s="4" t="n">
        <v>43</v>
      </c>
      <c r="B44" s="4" t="s">
        <v>125</v>
      </c>
      <c r="C44" s="4" t="s">
        <v>174</v>
      </c>
      <c r="D44" s="4" t="s">
        <v>175</v>
      </c>
      <c r="E44" s="5" t="s">
        <v>176</v>
      </c>
      <c r="F44" s="6"/>
      <c r="G44" s="4" t="s">
        <v>35</v>
      </c>
      <c r="H44" s="4" t="s">
        <v>41</v>
      </c>
      <c r="I44" s="6"/>
      <c r="J44" s="6"/>
      <c r="K44" s="7"/>
      <c r="L44" s="4" t="s">
        <v>106</v>
      </c>
    </row>
    <row r="45" customFormat="false" ht="15" hidden="false" customHeight="false" outlineLevel="0" collapsed="false">
      <c r="A45" s="4" t="n">
        <v>44</v>
      </c>
      <c r="B45" s="4" t="s">
        <v>125</v>
      </c>
      <c r="C45" s="4" t="s">
        <v>177</v>
      </c>
      <c r="D45" s="4" t="s">
        <v>178</v>
      </c>
      <c r="E45" s="5" t="s">
        <v>179</v>
      </c>
      <c r="F45" s="6"/>
      <c r="G45" s="4" t="s">
        <v>35</v>
      </c>
      <c r="H45" s="4" t="s">
        <v>41</v>
      </c>
      <c r="I45" s="6"/>
      <c r="J45" s="6"/>
      <c r="K45" s="7"/>
      <c r="L45" s="4" t="s">
        <v>106</v>
      </c>
    </row>
    <row r="46" customFormat="false" ht="15" hidden="false" customHeight="false" outlineLevel="0" collapsed="false">
      <c r="A46" s="4" t="n">
        <v>45</v>
      </c>
      <c r="B46" s="4" t="s">
        <v>125</v>
      </c>
      <c r="C46" s="4" t="s">
        <v>180</v>
      </c>
      <c r="D46" s="4" t="s">
        <v>181</v>
      </c>
      <c r="E46" s="5" t="s">
        <v>182</v>
      </c>
      <c r="F46" s="6"/>
      <c r="G46" s="4" t="s">
        <v>35</v>
      </c>
      <c r="H46" s="4" t="s">
        <v>41</v>
      </c>
      <c r="I46" s="6"/>
      <c r="J46" s="6"/>
      <c r="K46" s="7"/>
      <c r="L46" s="4" t="s">
        <v>106</v>
      </c>
    </row>
    <row r="47" customFormat="false" ht="15" hidden="false" customHeight="false" outlineLevel="0" collapsed="false">
      <c r="A47" s="4" t="n">
        <v>46</v>
      </c>
      <c r="B47" s="4" t="s">
        <v>125</v>
      </c>
      <c r="C47" s="4" t="s">
        <v>183</v>
      </c>
      <c r="D47" s="4" t="s">
        <v>184</v>
      </c>
      <c r="E47" s="5" t="s">
        <v>185</v>
      </c>
      <c r="F47" s="6"/>
      <c r="G47" s="4" t="s">
        <v>35</v>
      </c>
      <c r="H47" s="4" t="s">
        <v>41</v>
      </c>
      <c r="I47" s="6"/>
      <c r="J47" s="6"/>
      <c r="K47" s="7"/>
      <c r="L47" s="4" t="s">
        <v>106</v>
      </c>
    </row>
    <row r="48" customFormat="false" ht="15" hidden="false" customHeight="false" outlineLevel="0" collapsed="false">
      <c r="A48" s="4" t="n">
        <v>47</v>
      </c>
      <c r="B48" s="4" t="s">
        <v>125</v>
      </c>
      <c r="C48" s="4" t="s">
        <v>186</v>
      </c>
      <c r="D48" s="4" t="s">
        <v>187</v>
      </c>
      <c r="E48" s="5" t="s">
        <v>188</v>
      </c>
      <c r="F48" s="6"/>
      <c r="G48" s="4" t="s">
        <v>35</v>
      </c>
      <c r="H48" s="4" t="s">
        <v>41</v>
      </c>
      <c r="I48" s="6"/>
      <c r="J48" s="6"/>
      <c r="K48" s="7"/>
      <c r="L48" s="4" t="s">
        <v>106</v>
      </c>
    </row>
    <row r="49" customFormat="false" ht="15" hidden="false" customHeight="false" outlineLevel="0" collapsed="false">
      <c r="A49" s="4" t="n">
        <v>48</v>
      </c>
      <c r="B49" s="4" t="s">
        <v>125</v>
      </c>
      <c r="C49" s="4" t="s">
        <v>189</v>
      </c>
      <c r="D49" s="4" t="s">
        <v>190</v>
      </c>
      <c r="E49" s="5" t="s">
        <v>191</v>
      </c>
      <c r="F49" s="6"/>
      <c r="G49" s="4" t="s">
        <v>35</v>
      </c>
      <c r="H49" s="4" t="s">
        <v>41</v>
      </c>
      <c r="I49" s="6"/>
      <c r="J49" s="6"/>
      <c r="K49" s="7"/>
      <c r="L49" s="4" t="s">
        <v>106</v>
      </c>
    </row>
    <row r="50" customFormat="false" ht="15" hidden="false" customHeight="false" outlineLevel="0" collapsed="false">
      <c r="A50" s="4" t="n">
        <v>49</v>
      </c>
      <c r="B50" s="4" t="s">
        <v>125</v>
      </c>
      <c r="C50" s="4" t="s">
        <v>192</v>
      </c>
      <c r="D50" s="4" t="s">
        <v>157</v>
      </c>
      <c r="E50" s="5" t="s">
        <v>193</v>
      </c>
      <c r="F50" s="6"/>
      <c r="G50" s="4" t="s">
        <v>35</v>
      </c>
      <c r="H50" s="4" t="s">
        <v>41</v>
      </c>
      <c r="I50" s="6"/>
      <c r="J50" s="6"/>
      <c r="K50" s="7"/>
      <c r="L50" s="4" t="s">
        <v>106</v>
      </c>
    </row>
    <row r="51" customFormat="false" ht="15" hidden="false" customHeight="false" outlineLevel="0" collapsed="false">
      <c r="A51" s="4" t="n">
        <v>50</v>
      </c>
      <c r="B51" s="4" t="s">
        <v>125</v>
      </c>
      <c r="C51" s="4" t="s">
        <v>194</v>
      </c>
      <c r="D51" s="4" t="s">
        <v>195</v>
      </c>
      <c r="E51" s="5" t="s">
        <v>196</v>
      </c>
      <c r="F51" s="6"/>
      <c r="G51" s="4" t="s">
        <v>35</v>
      </c>
      <c r="H51" s="4" t="s">
        <v>41</v>
      </c>
      <c r="I51" s="6"/>
      <c r="J51" s="6"/>
      <c r="K51" s="7"/>
      <c r="L51" s="4" t="s">
        <v>106</v>
      </c>
    </row>
    <row r="52" customFormat="false" ht="15" hidden="false" customHeight="false" outlineLevel="0" collapsed="false">
      <c r="A52" s="4" t="n">
        <v>51</v>
      </c>
      <c r="B52" s="4" t="s">
        <v>125</v>
      </c>
      <c r="C52" s="4" t="s">
        <v>197</v>
      </c>
      <c r="D52" s="4" t="s">
        <v>198</v>
      </c>
      <c r="E52" s="5" t="s">
        <v>199</v>
      </c>
      <c r="F52" s="6"/>
      <c r="G52" s="4" t="s">
        <v>35</v>
      </c>
      <c r="H52" s="4" t="s">
        <v>41</v>
      </c>
      <c r="I52" s="6"/>
      <c r="J52" s="6"/>
      <c r="K52" s="7"/>
      <c r="L52" s="4" t="s">
        <v>106</v>
      </c>
    </row>
    <row r="53" customFormat="false" ht="15" hidden="false" customHeight="false" outlineLevel="0" collapsed="false">
      <c r="A53" s="4" t="n">
        <v>52</v>
      </c>
      <c r="B53" s="4" t="s">
        <v>125</v>
      </c>
      <c r="C53" s="4" t="s">
        <v>200</v>
      </c>
      <c r="D53" s="4" t="s">
        <v>145</v>
      </c>
      <c r="E53" s="5" t="s">
        <v>201</v>
      </c>
      <c r="F53" s="6"/>
      <c r="G53" s="4" t="s">
        <v>35</v>
      </c>
      <c r="H53" s="4" t="s">
        <v>41</v>
      </c>
      <c r="I53" s="6"/>
      <c r="J53" s="6"/>
      <c r="K53" s="7"/>
      <c r="L53" s="4" t="s">
        <v>106</v>
      </c>
    </row>
    <row r="54" customFormat="false" ht="15" hidden="false" customHeight="false" outlineLevel="0" collapsed="false">
      <c r="A54" s="4" t="n">
        <v>53</v>
      </c>
      <c r="B54" s="4" t="s">
        <v>125</v>
      </c>
      <c r="C54" s="4" t="s">
        <v>202</v>
      </c>
      <c r="D54" s="4" t="s">
        <v>203</v>
      </c>
      <c r="E54" s="5" t="s">
        <v>204</v>
      </c>
      <c r="F54" s="6"/>
      <c r="G54" s="4" t="s">
        <v>35</v>
      </c>
      <c r="H54" s="4" t="s">
        <v>41</v>
      </c>
      <c r="I54" s="6"/>
      <c r="J54" s="6"/>
      <c r="K54" s="7"/>
      <c r="L54" s="4" t="s">
        <v>106</v>
      </c>
    </row>
    <row r="55" customFormat="false" ht="15" hidden="false" customHeight="false" outlineLevel="0" collapsed="false">
      <c r="A55" s="4" t="n">
        <v>54</v>
      </c>
      <c r="B55" s="4" t="s">
        <v>125</v>
      </c>
      <c r="C55" s="4" t="s">
        <v>205</v>
      </c>
      <c r="D55" s="4" t="s">
        <v>206</v>
      </c>
      <c r="E55" s="5" t="s">
        <v>207</v>
      </c>
      <c r="F55" s="6"/>
      <c r="G55" s="4" t="s">
        <v>35</v>
      </c>
      <c r="H55" s="4" t="s">
        <v>41</v>
      </c>
      <c r="I55" s="6"/>
      <c r="J55" s="6"/>
      <c r="K55" s="7"/>
      <c r="L55" s="4" t="s">
        <v>106</v>
      </c>
    </row>
    <row r="56" customFormat="false" ht="15" hidden="false" customHeight="false" outlineLevel="0" collapsed="false">
      <c r="A56" s="4" t="n">
        <v>55</v>
      </c>
      <c r="B56" s="4" t="s">
        <v>208</v>
      </c>
      <c r="C56" s="4" t="s">
        <v>209</v>
      </c>
      <c r="D56" s="4" t="s">
        <v>33</v>
      </c>
      <c r="E56" s="5" t="s">
        <v>210</v>
      </c>
      <c r="F56" s="6"/>
      <c r="G56" s="4" t="s">
        <v>35</v>
      </c>
      <c r="H56" s="4" t="s">
        <v>36</v>
      </c>
      <c r="I56" s="6"/>
      <c r="J56" s="6"/>
      <c r="K56" s="7"/>
      <c r="L56" s="4"/>
    </row>
    <row r="57" customFormat="false" ht="23.85" hidden="false" customHeight="false" outlineLevel="0" collapsed="false">
      <c r="A57" s="4" t="n">
        <v>56</v>
      </c>
      <c r="B57" s="4" t="s">
        <v>208</v>
      </c>
      <c r="C57" s="4" t="s">
        <v>211</v>
      </c>
      <c r="D57" s="4" t="s">
        <v>33</v>
      </c>
      <c r="E57" s="5" t="s">
        <v>212</v>
      </c>
      <c r="F57" s="6"/>
      <c r="G57" s="4" t="s">
        <v>35</v>
      </c>
      <c r="H57" s="4" t="s">
        <v>41</v>
      </c>
      <c r="I57" s="6"/>
      <c r="J57" s="6"/>
      <c r="K57" s="7"/>
      <c r="L57" s="4" t="s">
        <v>213</v>
      </c>
    </row>
    <row r="58" customFormat="false" ht="15" hidden="false" customHeight="false" outlineLevel="0" collapsed="false">
      <c r="A58" s="4" t="n">
        <v>57</v>
      </c>
      <c r="B58" s="4" t="s">
        <v>208</v>
      </c>
      <c r="C58" s="4" t="s">
        <v>214</v>
      </c>
      <c r="D58" s="4" t="s">
        <v>33</v>
      </c>
      <c r="E58" s="5" t="s">
        <v>215</v>
      </c>
      <c r="F58" s="6"/>
      <c r="G58" s="4" t="s">
        <v>35</v>
      </c>
      <c r="H58" s="4" t="s">
        <v>36</v>
      </c>
      <c r="I58" s="6"/>
      <c r="J58" s="6"/>
      <c r="K58" s="7"/>
      <c r="L58" s="4"/>
    </row>
    <row r="59" customFormat="false" ht="15" hidden="false" customHeight="false" outlineLevel="0" collapsed="false">
      <c r="A59" s="4" t="n">
        <v>58</v>
      </c>
      <c r="B59" s="4" t="s">
        <v>208</v>
      </c>
      <c r="C59" s="4" t="s">
        <v>216</v>
      </c>
      <c r="D59" s="4" t="s">
        <v>33</v>
      </c>
      <c r="E59" s="5" t="s">
        <v>217</v>
      </c>
      <c r="F59" s="6"/>
      <c r="G59" s="4" t="s">
        <v>35</v>
      </c>
      <c r="H59" s="4" t="s">
        <v>36</v>
      </c>
      <c r="I59" s="6"/>
      <c r="J59" s="6"/>
      <c r="K59" s="7"/>
      <c r="L59" s="4" t="s">
        <v>218</v>
      </c>
    </row>
    <row r="60" customFormat="false" ht="15" hidden="false" customHeight="false" outlineLevel="0" collapsed="false">
      <c r="A60" s="4" t="n">
        <v>59</v>
      </c>
      <c r="B60" s="4" t="s">
        <v>208</v>
      </c>
      <c r="C60" s="4" t="s">
        <v>219</v>
      </c>
      <c r="D60" s="4" t="s">
        <v>33</v>
      </c>
      <c r="E60" s="5" t="s">
        <v>220</v>
      </c>
      <c r="F60" s="6"/>
      <c r="G60" s="4" t="s">
        <v>35</v>
      </c>
      <c r="H60" s="4" t="s">
        <v>41</v>
      </c>
      <c r="I60" s="6"/>
      <c r="J60" s="6"/>
      <c r="K60" s="7"/>
      <c r="L60" s="4" t="s">
        <v>221</v>
      </c>
    </row>
    <row r="61" customFormat="false" ht="23.85" hidden="false" customHeight="false" outlineLevel="0" collapsed="false">
      <c r="A61" s="4" t="n">
        <v>60</v>
      </c>
      <c r="B61" s="4" t="s">
        <v>208</v>
      </c>
      <c r="C61" s="4" t="s">
        <v>222</v>
      </c>
      <c r="D61" s="4" t="s">
        <v>33</v>
      </c>
      <c r="E61" s="5" t="s">
        <v>223</v>
      </c>
      <c r="F61" s="6"/>
      <c r="G61" s="4" t="s">
        <v>35</v>
      </c>
      <c r="H61" s="4" t="s">
        <v>41</v>
      </c>
      <c r="I61" s="6"/>
      <c r="J61" s="6"/>
      <c r="K61" s="7"/>
      <c r="L61" s="4" t="s">
        <v>224</v>
      </c>
    </row>
    <row r="62" customFormat="false" ht="15" hidden="false" customHeight="false" outlineLevel="0" collapsed="false">
      <c r="A62" s="4" t="n">
        <v>61</v>
      </c>
      <c r="B62" s="4" t="s">
        <v>208</v>
      </c>
      <c r="C62" s="4" t="s">
        <v>225</v>
      </c>
      <c r="D62" s="4" t="s">
        <v>33</v>
      </c>
      <c r="E62" s="5" t="s">
        <v>226</v>
      </c>
      <c r="F62" s="6"/>
      <c r="G62" s="4" t="s">
        <v>40</v>
      </c>
      <c r="H62" s="4" t="s">
        <v>41</v>
      </c>
      <c r="I62" s="6"/>
      <c r="J62" s="6"/>
      <c r="K62" s="7"/>
      <c r="L62" s="4"/>
    </row>
    <row r="63" customFormat="false" ht="15" hidden="false" customHeight="false" outlineLevel="0" collapsed="false">
      <c r="A63" s="4" t="n">
        <v>62</v>
      </c>
      <c r="B63" s="4" t="s">
        <v>208</v>
      </c>
      <c r="C63" s="4" t="s">
        <v>227</v>
      </c>
      <c r="D63" s="4" t="s">
        <v>228</v>
      </c>
      <c r="E63" s="5" t="s">
        <v>229</v>
      </c>
      <c r="F63" s="6"/>
      <c r="G63" s="4" t="s">
        <v>35</v>
      </c>
      <c r="H63" s="4" t="s">
        <v>41</v>
      </c>
      <c r="I63" s="6"/>
      <c r="J63" s="6"/>
      <c r="K63" s="7"/>
      <c r="L63" s="4" t="s">
        <v>230</v>
      </c>
    </row>
    <row r="64" customFormat="false" ht="15" hidden="false" customHeight="false" outlineLevel="0" collapsed="false">
      <c r="A64" s="4" t="n">
        <v>63</v>
      </c>
      <c r="B64" s="4" t="s">
        <v>208</v>
      </c>
      <c r="C64" s="4" t="s">
        <v>231</v>
      </c>
      <c r="D64" s="4" t="s">
        <v>232</v>
      </c>
      <c r="E64" s="5" t="s">
        <v>233</v>
      </c>
      <c r="F64" s="6"/>
      <c r="G64" s="4" t="s">
        <v>35</v>
      </c>
      <c r="H64" s="4" t="s">
        <v>41</v>
      </c>
      <c r="I64" s="6"/>
      <c r="J64" s="6"/>
      <c r="K64" s="7"/>
      <c r="L64" s="4"/>
    </row>
    <row r="65" customFormat="false" ht="15" hidden="false" customHeight="false" outlineLevel="0" collapsed="false">
      <c r="A65" s="4" t="n">
        <v>64</v>
      </c>
      <c r="B65" s="4" t="s">
        <v>208</v>
      </c>
      <c r="C65" s="4" t="s">
        <v>234</v>
      </c>
      <c r="D65" s="4" t="s">
        <v>235</v>
      </c>
      <c r="E65" s="5" t="s">
        <v>236</v>
      </c>
      <c r="F65" s="6"/>
      <c r="G65" s="4" t="s">
        <v>35</v>
      </c>
      <c r="H65" s="4" t="s">
        <v>41</v>
      </c>
      <c r="I65" s="6"/>
      <c r="J65" s="6"/>
      <c r="K65" s="7"/>
      <c r="L65" s="4"/>
    </row>
    <row r="66" customFormat="false" ht="15" hidden="false" customHeight="false" outlineLevel="0" collapsed="false">
      <c r="A66" s="4" t="n">
        <v>65</v>
      </c>
      <c r="B66" s="4" t="s">
        <v>208</v>
      </c>
      <c r="C66" s="4" t="s">
        <v>237</v>
      </c>
      <c r="D66" s="4" t="s">
        <v>238</v>
      </c>
      <c r="E66" s="5" t="s">
        <v>239</v>
      </c>
      <c r="F66" s="6"/>
      <c r="G66" s="4" t="s">
        <v>35</v>
      </c>
      <c r="H66" s="4" t="s">
        <v>41</v>
      </c>
      <c r="I66" s="6"/>
      <c r="J66" s="6"/>
      <c r="K66" s="7"/>
      <c r="L66" s="4"/>
    </row>
    <row r="67" customFormat="false" ht="15" hidden="false" customHeight="false" outlineLevel="0" collapsed="false">
      <c r="A67" s="4" t="n">
        <v>66</v>
      </c>
      <c r="B67" s="4" t="s">
        <v>208</v>
      </c>
      <c r="C67" s="4" t="s">
        <v>240</v>
      </c>
      <c r="D67" s="4" t="s">
        <v>241</v>
      </c>
      <c r="E67" s="5" t="s">
        <v>242</v>
      </c>
      <c r="F67" s="6"/>
      <c r="G67" s="4" t="s">
        <v>35</v>
      </c>
      <c r="H67" s="4" t="s">
        <v>41</v>
      </c>
      <c r="I67" s="6"/>
      <c r="J67" s="6"/>
      <c r="K67" s="7"/>
      <c r="L67" s="4"/>
    </row>
    <row r="68" customFormat="false" ht="15" hidden="false" customHeight="false" outlineLevel="0" collapsed="false">
      <c r="A68" s="4" t="n">
        <v>67</v>
      </c>
      <c r="B68" s="4" t="s">
        <v>208</v>
      </c>
      <c r="C68" s="4" t="s">
        <v>243</v>
      </c>
      <c r="D68" s="4" t="s">
        <v>244</v>
      </c>
      <c r="E68" s="5" t="s">
        <v>245</v>
      </c>
      <c r="F68" s="6"/>
      <c r="G68" s="4" t="s">
        <v>35</v>
      </c>
      <c r="H68" s="4" t="s">
        <v>41</v>
      </c>
      <c r="I68" s="6"/>
      <c r="J68" s="6"/>
      <c r="K68" s="7"/>
      <c r="L68" s="4"/>
    </row>
    <row r="69" customFormat="false" ht="15" hidden="false" customHeight="false" outlineLevel="0" collapsed="false">
      <c r="A69" s="4" t="n">
        <v>68</v>
      </c>
      <c r="B69" s="4" t="s">
        <v>208</v>
      </c>
      <c r="C69" s="4" t="s">
        <v>246</v>
      </c>
      <c r="D69" s="4" t="s">
        <v>247</v>
      </c>
      <c r="E69" s="5" t="s">
        <v>248</v>
      </c>
      <c r="F69" s="6"/>
      <c r="G69" s="4" t="s">
        <v>35</v>
      </c>
      <c r="H69" s="4" t="s">
        <v>41</v>
      </c>
      <c r="I69" s="6"/>
      <c r="J69" s="6"/>
      <c r="K69" s="7"/>
      <c r="L69" s="4"/>
    </row>
    <row r="70" customFormat="false" ht="15" hidden="false" customHeight="false" outlineLevel="0" collapsed="false">
      <c r="A70" s="4" t="n">
        <v>69</v>
      </c>
      <c r="B70" s="4" t="s">
        <v>208</v>
      </c>
      <c r="C70" s="4" t="s">
        <v>249</v>
      </c>
      <c r="D70" s="4" t="s">
        <v>250</v>
      </c>
      <c r="E70" s="5" t="s">
        <v>251</v>
      </c>
      <c r="F70" s="6"/>
      <c r="G70" s="4" t="s">
        <v>35</v>
      </c>
      <c r="H70" s="4" t="s">
        <v>41</v>
      </c>
      <c r="I70" s="6"/>
      <c r="J70" s="6"/>
      <c r="K70" s="7"/>
      <c r="L70" s="4"/>
    </row>
    <row r="71" customFormat="false" ht="15" hidden="false" customHeight="false" outlineLevel="0" collapsed="false">
      <c r="A71" s="4" t="n">
        <v>70</v>
      </c>
      <c r="B71" s="4" t="s">
        <v>208</v>
      </c>
      <c r="C71" s="4" t="s">
        <v>252</v>
      </c>
      <c r="D71" s="4" t="s">
        <v>253</v>
      </c>
      <c r="E71" s="5" t="s">
        <v>254</v>
      </c>
      <c r="F71" s="6"/>
      <c r="G71" s="4" t="s">
        <v>35</v>
      </c>
      <c r="H71" s="4" t="s">
        <v>41</v>
      </c>
      <c r="I71" s="6"/>
      <c r="J71" s="6"/>
      <c r="K71" s="7"/>
      <c r="L71" s="4"/>
    </row>
    <row r="72" customFormat="false" ht="15" hidden="false" customHeight="false" outlineLevel="0" collapsed="false">
      <c r="A72" s="4" t="n">
        <v>71</v>
      </c>
      <c r="B72" s="4" t="s">
        <v>208</v>
      </c>
      <c r="C72" s="4" t="s">
        <v>255</v>
      </c>
      <c r="D72" s="4" t="s">
        <v>256</v>
      </c>
      <c r="E72" s="5" t="s">
        <v>257</v>
      </c>
      <c r="F72" s="6"/>
      <c r="G72" s="4" t="s">
        <v>35</v>
      </c>
      <c r="H72" s="4" t="s">
        <v>41</v>
      </c>
      <c r="I72" s="6"/>
      <c r="J72" s="6"/>
      <c r="K72" s="7"/>
      <c r="L72" s="4"/>
    </row>
    <row r="73" customFormat="false" ht="15" hidden="false" customHeight="false" outlineLevel="0" collapsed="false">
      <c r="A73" s="4" t="n">
        <v>72</v>
      </c>
      <c r="B73" s="4" t="s">
        <v>208</v>
      </c>
      <c r="C73" s="4" t="s">
        <v>258</v>
      </c>
      <c r="D73" s="4" t="s">
        <v>259</v>
      </c>
      <c r="E73" s="5" t="s">
        <v>260</v>
      </c>
      <c r="F73" s="6"/>
      <c r="G73" s="4" t="s">
        <v>35</v>
      </c>
      <c r="H73" s="4" t="s">
        <v>41</v>
      </c>
      <c r="I73" s="6"/>
      <c r="J73" s="6"/>
      <c r="K73" s="7"/>
      <c r="L73" s="4"/>
    </row>
    <row r="74" customFormat="false" ht="15" hidden="false" customHeight="false" outlineLevel="0" collapsed="false">
      <c r="A74" s="4" t="n">
        <v>73</v>
      </c>
      <c r="B74" s="4" t="s">
        <v>208</v>
      </c>
      <c r="C74" s="4" t="s">
        <v>261</v>
      </c>
      <c r="D74" s="4" t="s">
        <v>262</v>
      </c>
      <c r="E74" s="5" t="s">
        <v>263</v>
      </c>
      <c r="F74" s="6"/>
      <c r="G74" s="4" t="s">
        <v>35</v>
      </c>
      <c r="H74" s="4" t="s">
        <v>41</v>
      </c>
      <c r="I74" s="6"/>
      <c r="J74" s="6"/>
      <c r="K74" s="7"/>
      <c r="L74" s="4"/>
    </row>
    <row r="75" customFormat="false" ht="23.85" hidden="false" customHeight="false" outlineLevel="0" collapsed="false">
      <c r="A75" s="4" t="n">
        <v>74</v>
      </c>
      <c r="B75" s="4" t="s">
        <v>208</v>
      </c>
      <c r="C75" s="4" t="s">
        <v>264</v>
      </c>
      <c r="D75" s="4" t="s">
        <v>265</v>
      </c>
      <c r="E75" s="5" t="s">
        <v>266</v>
      </c>
      <c r="F75" s="6"/>
      <c r="G75" s="4" t="s">
        <v>35</v>
      </c>
      <c r="H75" s="4" t="s">
        <v>41</v>
      </c>
      <c r="I75" s="6"/>
      <c r="J75" s="6"/>
      <c r="K75" s="7"/>
      <c r="L75" s="4"/>
    </row>
    <row r="76" customFormat="false" ht="15" hidden="false" customHeight="false" outlineLevel="0" collapsed="false">
      <c r="A76" s="4" t="n">
        <v>75</v>
      </c>
      <c r="B76" s="4" t="s">
        <v>208</v>
      </c>
      <c r="C76" s="4" t="s">
        <v>267</v>
      </c>
      <c r="D76" s="4" t="s">
        <v>82</v>
      </c>
      <c r="E76" s="5" t="s">
        <v>268</v>
      </c>
      <c r="F76" s="6"/>
      <c r="G76" s="4" t="s">
        <v>35</v>
      </c>
      <c r="H76" s="4" t="s">
        <v>41</v>
      </c>
      <c r="I76" s="6"/>
      <c r="J76" s="6"/>
      <c r="K76" s="7"/>
      <c r="L76" s="4"/>
    </row>
    <row r="77" customFormat="false" ht="23.85" hidden="false" customHeight="false" outlineLevel="0" collapsed="false">
      <c r="A77" s="4" t="n">
        <v>76</v>
      </c>
      <c r="B77" s="4" t="s">
        <v>269</v>
      </c>
      <c r="C77" s="4" t="s">
        <v>270</v>
      </c>
      <c r="D77" s="4" t="s">
        <v>271</v>
      </c>
      <c r="E77" s="5" t="s">
        <v>272</v>
      </c>
      <c r="F77" s="6"/>
      <c r="G77" s="4" t="s">
        <v>35</v>
      </c>
      <c r="H77" s="4" t="s">
        <v>273</v>
      </c>
      <c r="I77" s="6"/>
      <c r="J77" s="6"/>
      <c r="K77" s="7"/>
      <c r="L77" s="4" t="s">
        <v>274</v>
      </c>
    </row>
    <row r="78" customFormat="false" ht="23.85" hidden="false" customHeight="false" outlineLevel="0" collapsed="false">
      <c r="A78" s="4" t="n">
        <v>77</v>
      </c>
      <c r="B78" s="4" t="s">
        <v>269</v>
      </c>
      <c r="C78" s="4" t="s">
        <v>275</v>
      </c>
      <c r="D78" s="4" t="s">
        <v>276</v>
      </c>
      <c r="E78" s="5" t="s">
        <v>277</v>
      </c>
      <c r="F78" s="6"/>
      <c r="G78" s="4" t="s">
        <v>35</v>
      </c>
      <c r="H78" s="4" t="s">
        <v>273</v>
      </c>
      <c r="I78" s="6"/>
      <c r="J78" s="6"/>
      <c r="K78" s="7"/>
      <c r="L78" s="4"/>
    </row>
    <row r="79" customFormat="false" ht="23.85" hidden="false" customHeight="false" outlineLevel="0" collapsed="false">
      <c r="A79" s="4" t="n">
        <v>78</v>
      </c>
      <c r="B79" s="4" t="s">
        <v>269</v>
      </c>
      <c r="C79" s="4" t="s">
        <v>278</v>
      </c>
      <c r="D79" s="4" t="s">
        <v>279</v>
      </c>
      <c r="E79" s="5" t="s">
        <v>280</v>
      </c>
      <c r="F79" s="6"/>
      <c r="G79" s="4" t="s">
        <v>35</v>
      </c>
      <c r="H79" s="4" t="s">
        <v>273</v>
      </c>
      <c r="I79" s="6"/>
      <c r="J79" s="6"/>
      <c r="K79" s="7"/>
      <c r="L79" s="4"/>
    </row>
    <row r="80" customFormat="false" ht="23.85" hidden="false" customHeight="false" outlineLevel="0" collapsed="false">
      <c r="A80" s="4" t="n">
        <v>79</v>
      </c>
      <c r="B80" s="4" t="s">
        <v>269</v>
      </c>
      <c r="C80" s="4" t="s">
        <v>281</v>
      </c>
      <c r="D80" s="4" t="s">
        <v>282</v>
      </c>
      <c r="E80" s="5" t="s">
        <v>283</v>
      </c>
      <c r="F80" s="6"/>
      <c r="G80" s="4" t="s">
        <v>40</v>
      </c>
      <c r="H80" s="4" t="s">
        <v>273</v>
      </c>
      <c r="I80" s="6"/>
      <c r="J80" s="6"/>
      <c r="K80" s="7"/>
      <c r="L80" s="4" t="s">
        <v>284</v>
      </c>
    </row>
    <row r="81" customFormat="false" ht="23.85" hidden="false" customHeight="false" outlineLevel="0" collapsed="false">
      <c r="A81" s="4" t="n">
        <v>80</v>
      </c>
      <c r="B81" s="4" t="s">
        <v>269</v>
      </c>
      <c r="C81" s="4" t="s">
        <v>285</v>
      </c>
      <c r="D81" s="4" t="s">
        <v>286</v>
      </c>
      <c r="E81" s="5" t="s">
        <v>287</v>
      </c>
      <c r="F81" s="6"/>
      <c r="G81" s="4" t="s">
        <v>40</v>
      </c>
      <c r="H81" s="4" t="s">
        <v>273</v>
      </c>
      <c r="I81" s="6"/>
      <c r="J81" s="6"/>
      <c r="K81" s="7"/>
      <c r="L81" s="4"/>
    </row>
    <row r="82" customFormat="false" ht="15" hidden="false" customHeight="false" outlineLevel="0" collapsed="false">
      <c r="A82" s="4" t="n">
        <v>81</v>
      </c>
      <c r="B82" s="4" t="s">
        <v>269</v>
      </c>
      <c r="C82" s="4" t="s">
        <v>288</v>
      </c>
      <c r="D82" s="4" t="s">
        <v>289</v>
      </c>
      <c r="E82" s="5" t="s">
        <v>290</v>
      </c>
      <c r="F82" s="6"/>
      <c r="G82" s="4" t="s">
        <v>35</v>
      </c>
      <c r="H82" s="4" t="s">
        <v>273</v>
      </c>
      <c r="I82" s="6"/>
      <c r="J82" s="6"/>
      <c r="K82" s="7"/>
      <c r="L82" s="4"/>
    </row>
    <row r="83" customFormat="false" ht="15" hidden="false" customHeight="false" outlineLevel="0" collapsed="false">
      <c r="A83" s="4" t="n">
        <v>82</v>
      </c>
      <c r="B83" s="4" t="s">
        <v>269</v>
      </c>
      <c r="C83" s="4" t="s">
        <v>291</v>
      </c>
      <c r="D83" s="4" t="s">
        <v>292</v>
      </c>
      <c r="E83" s="5" t="s">
        <v>293</v>
      </c>
      <c r="F83" s="6"/>
      <c r="G83" s="4" t="s">
        <v>40</v>
      </c>
      <c r="H83" s="4" t="s">
        <v>273</v>
      </c>
      <c r="I83" s="6"/>
      <c r="J83" s="6"/>
      <c r="K83" s="7"/>
      <c r="L83" s="4" t="s">
        <v>294</v>
      </c>
    </row>
    <row r="84" customFormat="false" ht="15" hidden="false" customHeight="false" outlineLevel="0" collapsed="false">
      <c r="A84" s="4" t="n">
        <v>83</v>
      </c>
      <c r="B84" s="4" t="s">
        <v>269</v>
      </c>
      <c r="C84" s="4" t="s">
        <v>295</v>
      </c>
      <c r="D84" s="4" t="s">
        <v>296</v>
      </c>
      <c r="E84" s="5" t="s">
        <v>297</v>
      </c>
      <c r="F84" s="6"/>
      <c r="G84" s="4" t="s">
        <v>35</v>
      </c>
      <c r="H84" s="4" t="s">
        <v>273</v>
      </c>
      <c r="I84" s="6"/>
      <c r="J84" s="6"/>
      <c r="K84" s="7"/>
      <c r="L84" s="4"/>
    </row>
    <row r="85" customFormat="false" ht="15" hidden="false" customHeight="false" outlineLevel="0" collapsed="false">
      <c r="A85" s="4" t="n">
        <v>84</v>
      </c>
      <c r="B85" s="4" t="s">
        <v>269</v>
      </c>
      <c r="C85" s="4" t="s">
        <v>298</v>
      </c>
      <c r="D85" s="4" t="s">
        <v>299</v>
      </c>
      <c r="E85" s="5" t="s">
        <v>300</v>
      </c>
      <c r="F85" s="6"/>
      <c r="G85" s="4" t="s">
        <v>35</v>
      </c>
      <c r="H85" s="4" t="s">
        <v>273</v>
      </c>
      <c r="I85" s="6"/>
      <c r="J85" s="6"/>
      <c r="K85" s="7"/>
      <c r="L85" s="4"/>
    </row>
    <row r="86" customFormat="false" ht="23.85" hidden="false" customHeight="false" outlineLevel="0" collapsed="false">
      <c r="A86" s="4" t="n">
        <v>85</v>
      </c>
      <c r="B86" s="4" t="s">
        <v>269</v>
      </c>
      <c r="C86" s="4" t="s">
        <v>301</v>
      </c>
      <c r="D86" s="4" t="s">
        <v>302</v>
      </c>
      <c r="E86" s="5" t="s">
        <v>303</v>
      </c>
      <c r="F86" s="6"/>
      <c r="G86" s="4" t="s">
        <v>35</v>
      </c>
      <c r="H86" s="4" t="s">
        <v>273</v>
      </c>
      <c r="I86" s="6"/>
      <c r="J86" s="6"/>
      <c r="K86" s="7"/>
      <c r="L86" s="4" t="s">
        <v>304</v>
      </c>
    </row>
    <row r="87" customFormat="false" ht="23.85" hidden="false" customHeight="false" outlineLevel="0" collapsed="false">
      <c r="A87" s="4" t="n">
        <v>86</v>
      </c>
      <c r="B87" s="4" t="s">
        <v>269</v>
      </c>
      <c r="C87" s="4" t="s">
        <v>305</v>
      </c>
      <c r="D87" s="4" t="s">
        <v>94</v>
      </c>
      <c r="E87" s="5" t="s">
        <v>306</v>
      </c>
      <c r="F87" s="6"/>
      <c r="G87" s="4" t="s">
        <v>35</v>
      </c>
      <c r="H87" s="4" t="s">
        <v>273</v>
      </c>
      <c r="I87" s="6"/>
      <c r="J87" s="6"/>
      <c r="K87" s="7"/>
      <c r="L87" s="4" t="s">
        <v>307</v>
      </c>
    </row>
    <row r="88" customFormat="false" ht="23.85" hidden="false" customHeight="false" outlineLevel="0" collapsed="false">
      <c r="A88" s="4" t="n">
        <v>87</v>
      </c>
      <c r="B88" s="4" t="s">
        <v>269</v>
      </c>
      <c r="C88" s="4" t="s">
        <v>308</v>
      </c>
      <c r="D88" s="4" t="s">
        <v>33</v>
      </c>
      <c r="E88" s="5" t="s">
        <v>309</v>
      </c>
      <c r="F88" s="6"/>
      <c r="G88" s="4" t="s">
        <v>35</v>
      </c>
      <c r="H88" s="4" t="s">
        <v>273</v>
      </c>
      <c r="I88" s="6"/>
      <c r="J88" s="6"/>
      <c r="K88" s="7"/>
      <c r="L88" s="4" t="s">
        <v>310</v>
      </c>
    </row>
    <row r="89" customFormat="false" ht="15" hidden="false" customHeight="false" outlineLevel="0" collapsed="false">
      <c r="A89" s="4" t="n">
        <v>88</v>
      </c>
      <c r="B89" s="4" t="s">
        <v>311</v>
      </c>
      <c r="C89" s="4" t="s">
        <v>312</v>
      </c>
      <c r="D89" s="4" t="s">
        <v>313</v>
      </c>
      <c r="E89" s="5" t="s">
        <v>314</v>
      </c>
      <c r="F89" s="6"/>
      <c r="G89" s="4" t="s">
        <v>35</v>
      </c>
      <c r="H89" s="4" t="s">
        <v>273</v>
      </c>
      <c r="I89" s="6"/>
      <c r="J89" s="6"/>
      <c r="K89" s="7"/>
      <c r="L89" s="4" t="s">
        <v>315</v>
      </c>
    </row>
    <row r="90" customFormat="false" ht="23.85" hidden="false" customHeight="false" outlineLevel="0" collapsed="false">
      <c r="A90" s="4" t="n">
        <v>89</v>
      </c>
      <c r="B90" s="4" t="s">
        <v>311</v>
      </c>
      <c r="C90" s="4" t="s">
        <v>316</v>
      </c>
      <c r="D90" s="4" t="s">
        <v>74</v>
      </c>
      <c r="E90" s="5" t="s">
        <v>317</v>
      </c>
      <c r="F90" s="6"/>
      <c r="G90" s="4" t="s">
        <v>35</v>
      </c>
      <c r="H90" s="4" t="s">
        <v>273</v>
      </c>
      <c r="I90" s="6"/>
      <c r="J90" s="6"/>
      <c r="K90" s="7"/>
      <c r="L90" s="4"/>
    </row>
    <row r="91" customFormat="false" ht="23.85" hidden="false" customHeight="false" outlineLevel="0" collapsed="false">
      <c r="A91" s="4" t="n">
        <v>90</v>
      </c>
      <c r="B91" s="4" t="s">
        <v>311</v>
      </c>
      <c r="C91" s="4" t="s">
        <v>318</v>
      </c>
      <c r="D91" s="4" t="s">
        <v>319</v>
      </c>
      <c r="E91" s="5" t="s">
        <v>320</v>
      </c>
      <c r="F91" s="6"/>
      <c r="G91" s="4" t="s">
        <v>40</v>
      </c>
      <c r="H91" s="4" t="s">
        <v>273</v>
      </c>
      <c r="I91" s="6"/>
      <c r="J91" s="6"/>
      <c r="K91" s="7"/>
      <c r="L91" s="4"/>
    </row>
    <row r="92" customFormat="false" ht="15" hidden="false" customHeight="false" outlineLevel="0" collapsed="false">
      <c r="A92" s="4" t="n">
        <v>91</v>
      </c>
      <c r="B92" s="4" t="s">
        <v>311</v>
      </c>
      <c r="C92" s="4" t="s">
        <v>321</v>
      </c>
      <c r="D92" s="4" t="s">
        <v>322</v>
      </c>
      <c r="E92" s="5" t="s">
        <v>323</v>
      </c>
      <c r="F92" s="6"/>
      <c r="G92" s="4" t="s">
        <v>35</v>
      </c>
      <c r="H92" s="4" t="s">
        <v>273</v>
      </c>
      <c r="I92" s="6"/>
      <c r="J92" s="6"/>
      <c r="K92" s="7"/>
      <c r="L92" s="4"/>
    </row>
    <row r="93" customFormat="false" ht="15" hidden="false" customHeight="false" outlineLevel="0" collapsed="false">
      <c r="A93" s="4" t="n">
        <v>92</v>
      </c>
      <c r="B93" s="4" t="s">
        <v>311</v>
      </c>
      <c r="C93" s="4" t="s">
        <v>324</v>
      </c>
      <c r="D93" s="4" t="s">
        <v>325</v>
      </c>
      <c r="E93" s="5" t="s">
        <v>326</v>
      </c>
      <c r="F93" s="6"/>
      <c r="G93" s="4" t="s">
        <v>35</v>
      </c>
      <c r="H93" s="4" t="s">
        <v>273</v>
      </c>
      <c r="I93" s="6"/>
      <c r="J93" s="6"/>
      <c r="K93" s="7"/>
      <c r="L93" s="4"/>
    </row>
    <row r="94" customFormat="false" ht="15" hidden="false" customHeight="false" outlineLevel="0" collapsed="false">
      <c r="A94" s="4" t="n">
        <v>93</v>
      </c>
      <c r="B94" s="4" t="s">
        <v>311</v>
      </c>
      <c r="C94" s="4" t="s">
        <v>327</v>
      </c>
      <c r="D94" s="4" t="s">
        <v>328</v>
      </c>
      <c r="E94" s="5" t="s">
        <v>329</v>
      </c>
      <c r="F94" s="6"/>
      <c r="G94" s="4" t="s">
        <v>35</v>
      </c>
      <c r="H94" s="4" t="s">
        <v>273</v>
      </c>
      <c r="I94" s="6"/>
      <c r="J94" s="6"/>
      <c r="K94" s="7"/>
      <c r="L94" s="4"/>
    </row>
    <row r="95" customFormat="false" ht="15" hidden="false" customHeight="false" outlineLevel="0" collapsed="false">
      <c r="A95" s="4" t="n">
        <v>94</v>
      </c>
      <c r="B95" s="4" t="s">
        <v>311</v>
      </c>
      <c r="C95" s="4" t="s">
        <v>330</v>
      </c>
      <c r="D95" s="4" t="s">
        <v>94</v>
      </c>
      <c r="E95" s="5" t="s">
        <v>331</v>
      </c>
      <c r="F95" s="6"/>
      <c r="G95" s="4" t="s">
        <v>40</v>
      </c>
      <c r="H95" s="4" t="s">
        <v>273</v>
      </c>
      <c r="I95" s="6"/>
      <c r="J95" s="6"/>
      <c r="K95" s="7"/>
      <c r="L95" s="4" t="s">
        <v>332</v>
      </c>
    </row>
    <row r="96" customFormat="false" ht="23.85" hidden="false" customHeight="false" outlineLevel="0" collapsed="false">
      <c r="A96" s="4" t="n">
        <v>95</v>
      </c>
      <c r="B96" s="4" t="s">
        <v>311</v>
      </c>
      <c r="C96" s="4" t="s">
        <v>333</v>
      </c>
      <c r="D96" s="4" t="s">
        <v>334</v>
      </c>
      <c r="E96" s="5" t="s">
        <v>335</v>
      </c>
      <c r="F96" s="6"/>
      <c r="G96" s="4" t="s">
        <v>40</v>
      </c>
      <c r="H96" s="4" t="s">
        <v>273</v>
      </c>
      <c r="I96" s="6"/>
      <c r="J96" s="6"/>
      <c r="K96" s="7"/>
      <c r="L96" s="4" t="s">
        <v>336</v>
      </c>
    </row>
    <row r="97" customFormat="false" ht="15" hidden="false" customHeight="false" outlineLevel="0" collapsed="false">
      <c r="A97" s="4" t="n">
        <v>96</v>
      </c>
      <c r="B97" s="4" t="s">
        <v>311</v>
      </c>
      <c r="C97" s="4" t="s">
        <v>337</v>
      </c>
      <c r="D97" s="4" t="s">
        <v>338</v>
      </c>
      <c r="E97" s="5" t="s">
        <v>339</v>
      </c>
      <c r="F97" s="6"/>
      <c r="G97" s="4" t="s">
        <v>40</v>
      </c>
      <c r="H97" s="4" t="s">
        <v>273</v>
      </c>
      <c r="I97" s="6"/>
      <c r="J97" s="6"/>
      <c r="K97" s="7"/>
      <c r="L97" s="4" t="s">
        <v>340</v>
      </c>
    </row>
  </sheetData>
  <autoFilter ref="A1:L97"/>
  <dataValidations count="2">
    <dataValidation allowBlank="true" errorStyle="stop" operator="between" showDropDown="false" showErrorMessage="false" showInputMessage="false" sqref="H2:H97" type="list">
      <formula1>"Kasdien,Kas savaitę,Kas mėnesį,Kas ketvirtį"</formula1>
      <formula2>0</formula2>
    </dataValidation>
    <dataValidation allowBlank="true" errorStyle="stop" operator="between" showDropDown="false" showErrorMessage="false" showInputMessage="false" sqref="J2:J97" type="list">
      <formula1>"Taip,Ne,Vertinama"</formula1>
      <formula2>0</formula2>
    </dataValidation>
  </dataValidations>
  <hyperlinks>
    <hyperlink ref="E2" r:id="rId1" display="https://www.lrt.lt/"/>
    <hyperlink ref="E3" r:id="rId2" display="https://www.lrt.lt/tema/lrt-tyrimai"/>
    <hyperlink ref="E4" r:id="rId3" display="https://www.delfi.lt/"/>
    <hyperlink ref="E5" r:id="rId4" display="https://www.15min.lt/"/>
    <hyperlink ref="E6" r:id="rId5" display="https://www.lrytas.lt/"/>
    <hyperlink ref="E7" r:id="rId6" display="https://www.tv3.lt/"/>
    <hyperlink ref="E8" r:id="rId7" display="https://www.alfa.lt/"/>
    <hyperlink ref="E9" r:id="rId8" display="https://www.elta.lt/"/>
    <hyperlink ref="E10" r:id="rId9" display="https://sc.bns.lt/"/>
    <hyperlink ref="E11" r:id="rId10" display="https://www.bernardinai.lt/"/>
    <hyperlink ref="E12" r:id="rId11" display="https://www.vz.lt/"/>
    <hyperlink ref="E13" r:id="rId12" display="https://iq.lt/"/>
    <hyperlink ref="E14" r:id="rId13" display="https://www.valstietis.lt/"/>
    <hyperlink ref="E15" r:id="rId14" display="https://ukininkopatarejas.lt/"/>
    <hyperlink ref="E16" r:id="rId15" display="https://siena.lt/"/>
    <hyperlink ref="E17" r:id="rId16" display="https://www.laisvestv.lt/"/>
    <hyperlink ref="E18" r:id="rId17" display="https://www.atviraklaipeda.lt/"/>
    <hyperlink ref="E19" r:id="rId18" display="https://kauno.diena.lt/"/>
    <hyperlink ref="E20" r:id="rId19" display="https://klaipeda.diena.lt/"/>
    <hyperlink ref="E21" r:id="rId20" display="https://ve.lt/"/>
    <hyperlink ref="E22" r:id="rId21" display="https://www.skrastas.lt/"/>
    <hyperlink ref="E23" r:id="rId22" display="https://www.sekunde.lt/"/>
    <hyperlink ref="E24" r:id="rId23" display="https://www.etaplius.lt/"/>
    <hyperlink ref="E25" r:id="rId24" display="https://kaunas.kasvyksta.lt/"/>
    <hyperlink ref="E26" r:id="rId25" display="https://madeinvilnius.lt/"/>
    <hyperlink ref="E27" r:id="rId26" display="https://www.alytusplius.lt/"/>
    <hyperlink ref="E28" r:id="rId27" display="https://www.alytausnaujienos.lt/"/>
    <hyperlink ref="E29" r:id="rId28" display="https://www.anyksta.lt/"/>
    <hyperlink ref="E30" r:id="rId29" display="https://gargzdai.lt/"/>
    <hyperlink ref="E31" r:id="rId30" display="https://www.biciulis.net/"/>
    <hyperlink ref="E32" r:id="rId31" display="https://www.kronika.lt/"/>
    <hyperlink ref="E33" r:id="rId32" display="https://www.grokiskis.lt/"/>
    <hyperlink ref="E34" r:id="rId33" display="https://www.gzeme.lt/"/>
    <hyperlink ref="E35" r:id="rId34" display="https://www.gyvenimas.eu/"/>
    <hyperlink ref="E36" r:id="rId35" display="https://kmintys.lt/"/>
    <hyperlink ref="E37" r:id="rId36" display="https://merkiokrastas.com/"/>
    <hyperlink ref="E38" r:id="rId37" display="https://www.mlaikas.lt/"/>
    <hyperlink ref="E39" r:id="rId38" display="https://www.musu-zodis.lt/"/>
    <hyperlink ref="E40" r:id="rId39" display="https://www.pajurionaujienos.com/"/>
    <hyperlink ref="E41" r:id="rId40" display="https://panskliautas.lt/"/>
    <hyperlink ref="E42" r:id="rId41" display="https://laikrastisplunge.lt/"/>
    <hyperlink ref="E43" r:id="rId42" display="https://rinkosaikste.lt/"/>
    <hyperlink ref="E44" r:id="rId43" display="https://santaka.info/"/>
    <hyperlink ref="E45" r:id="rId44" display="https://www.santarve.lt/"/>
    <hyperlink ref="E46" r:id="rId45" display="https://www.suvalkietis.lt/"/>
    <hyperlink ref="E47" r:id="rId46" display="https://siaure.lt/"/>
    <hyperlink ref="E48" r:id="rId47" display="https://silales-artojas.lt/"/>
    <hyperlink ref="E49" r:id="rId48" display="https://www.silutesnaujienos.lt/lt/"/>
    <hyperlink ref="E50" r:id="rId49" display="https://jurbarkosviesa.lt/"/>
    <hyperlink ref="E51" r:id="rId50" display="https://kurjeris.lt/"/>
    <hyperlink ref="E52" r:id="rId51" display="https://tzinios.lt/"/>
    <hyperlink ref="E53" r:id="rId52" display="https://www.ukzinios.lt/"/>
    <hyperlink ref="E54" r:id="rId53" display="https://udiena.lt/"/>
    <hyperlink ref="E55" r:id="rId54" display="http://www.avienybe.lt/"/>
    <hyperlink ref="E56" r:id="rId55" display="https://lrv.lt/lt/"/>
    <hyperlink ref="E57" r:id="rId56" display="https://lrv.lt/lt/posedziai/"/>
    <hyperlink ref="E58" r:id="rId57" display="https://www.lrs.lt/"/>
    <hyperlink ref="E59" r:id="rId58" display="https://www.lrs.lt/sip/portal.show?p_r=35403&amp;p_k=1"/>
    <hyperlink ref="E60" r:id="rId59" display="https://www.e-tar.lt/"/>
    <hyperlink ref="E61" r:id="rId60" display="https://e-seimas.lrs.lt/"/>
    <hyperlink ref="E62" r:id="rId61" display="https://www.lrp.lt/"/>
    <hyperlink ref="E63" r:id="rId62" display="https://am.lrv.lt/lt/"/>
    <hyperlink ref="E64" r:id="rId63" display="https://eimin.lrv.lt/lt/"/>
    <hyperlink ref="E65" r:id="rId64" display="https://enmin.lrv.lt/lt/"/>
    <hyperlink ref="E66" r:id="rId65" display="https://finmin.lrv.lt/lt/"/>
    <hyperlink ref="E67" r:id="rId66" display="https://kam.lt/"/>
    <hyperlink ref="E68" r:id="rId67" display="https://lrkm.lrv.lt/lt/"/>
    <hyperlink ref="E69" r:id="rId68" display="https://socmin.lrv.lt/lt/"/>
    <hyperlink ref="E70" r:id="rId69" display="https://sumin.lrv.lt/lt/"/>
    <hyperlink ref="E71" r:id="rId70" display="https://sam.lrv.lt/lt/"/>
    <hyperlink ref="E72" r:id="rId71" display="https://smsm.lrv.lt/lt/"/>
    <hyperlink ref="E73" r:id="rId72" display="https://tm.lrv.lt/lt/"/>
    <hyperlink ref="E74" r:id="rId73" display="https://www.urm.lt/lt/"/>
    <hyperlink ref="E75" r:id="rId74" display="https://vrm.lrv.lt/lt/"/>
    <hyperlink ref="E76" r:id="rId75" display="https://zum.lrv.lt/lt/"/>
    <hyperlink ref="E77" r:id="rId76" display="https://www.lrski.lt/"/>
    <hyperlink ref="E78" r:id="rId77" display="https://lygybe.lt/"/>
    <hyperlink ref="E79" r:id="rId78" display="https://vtaki.lt/"/>
    <hyperlink ref="E80" r:id="rId79" display="https://www.stt.lt/"/>
    <hyperlink ref="E81" r:id="rId80" display="https://www.vtek.lt/"/>
    <hyperlink ref="E82" r:id="rId81" display="https://vpt.lrv.lt/"/>
    <hyperlink ref="E83" r:id="rId82" display="https://kt.gov.lt/"/>
    <hyperlink ref="E84" r:id="rId83" display="https://vdi.lrv.lt/"/>
    <hyperlink ref="E85" r:id="rId84" display="https://vdai.lrv.lt/lt/"/>
    <hyperlink ref="E86" r:id="rId85" display="https://nksc.lrv.lt/lt/"/>
    <hyperlink ref="E87" r:id="rId86" display="https://vaistaiga.lrv.lt/lt/"/>
    <hyperlink ref="E88" r:id="rId87" display="https://www.valstybeskontrole.lt/"/>
    <hyperlink ref="E89" r:id="rId88" display="https://vda.lrv.lt/lt/"/>
    <hyperlink ref="E90" r:id="rId89" display="https://strata.gov.lt/"/>
    <hyperlink ref="E91" r:id="rId90" display="https://www.lb.lt/"/>
    <hyperlink ref="E92" r:id="rId91" display="https://www.sodra.lt/"/>
    <hyperlink ref="E93" r:id="rId92" display="https://uzt.lt/"/>
    <hyperlink ref="E94" r:id="rId93" display="https://ligoniukasa.lrv.lt/"/>
    <hyperlink ref="E95" r:id="rId94" display="https://www.lsa.lt/"/>
    <hyperlink ref="E96" r:id="rId95" display="https://www.transparency.lt/"/>
    <hyperlink ref="E97" r:id="rId96" display="https://www.llri.lt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9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2"/>
  </cols>
  <sheetData>
    <row r="1" customFormat="false" ht="15" hidden="false" customHeight="false" outlineLevel="0" collapsed="false">
      <c r="A1" s="8" t="s">
        <v>341</v>
      </c>
    </row>
    <row r="3" customFormat="false" ht="31.5" hidden="false" customHeight="true" outlineLevel="0" collapsed="false">
      <c r="A3" s="3" t="s">
        <v>20</v>
      </c>
      <c r="B3" s="3" t="s">
        <v>342</v>
      </c>
      <c r="C3" s="3" t="s">
        <v>343</v>
      </c>
      <c r="D3" s="3" t="s">
        <v>28</v>
      </c>
    </row>
    <row r="4" customFormat="false" ht="15" hidden="false" customHeight="false" outlineLevel="0" collapsed="false">
      <c r="A4" s="9" t="s">
        <v>31</v>
      </c>
      <c r="B4" s="9" t="n">
        <f aca="false">COUNTIF(Šaltiniai!$B$2:$B$97,$A4)</f>
        <v>10</v>
      </c>
      <c r="C4" s="9" t="n">
        <f aca="false">COUNTIFS(Šaltiniai!$B$2:$B$97,$A4,Šaltiniai!$G$2:$G$97,"Taip")</f>
        <v>9</v>
      </c>
      <c r="D4" s="9" t="n">
        <f aca="false">COUNTIFS(Šaltiniai!$B$2:$B$97,$A4,Šaltiniai!$J$2:$J$97,"Taip")</f>
        <v>0</v>
      </c>
    </row>
    <row r="5" customFormat="false" ht="15" hidden="false" customHeight="false" outlineLevel="0" collapsed="false">
      <c r="A5" s="9" t="s">
        <v>68</v>
      </c>
      <c r="B5" s="9" t="n">
        <f aca="false">COUNTIF(Šaltiniai!$B$2:$B$97,$A5)</f>
        <v>4</v>
      </c>
      <c r="C5" s="9" t="n">
        <f aca="false">COUNTIFS(Šaltiniai!$B$2:$B$97,$A5,Šaltiniai!$G$2:$G$97,"Taip")</f>
        <v>2</v>
      </c>
      <c r="D5" s="9" t="n">
        <f aca="false">COUNTIFS(Šaltiniai!$B$2:$B$97,$A5,Šaltiniai!$J$2:$J$97,"Taip")</f>
        <v>0</v>
      </c>
    </row>
    <row r="6" customFormat="false" ht="15" hidden="false" customHeight="false" outlineLevel="0" collapsed="false">
      <c r="A6" s="9" t="s">
        <v>85</v>
      </c>
      <c r="B6" s="9" t="n">
        <f aca="false">COUNTIF(Šaltiniai!$B$2:$B$97,$A6)</f>
        <v>3</v>
      </c>
      <c r="C6" s="9" t="n">
        <f aca="false">COUNTIFS(Šaltiniai!$B$2:$B$97,$A6,Šaltiniai!$G$2:$G$97,"Taip")</f>
        <v>2</v>
      </c>
      <c r="D6" s="9" t="n">
        <f aca="false">COUNTIFS(Šaltiniai!$B$2:$B$97,$A6,Šaltiniai!$J$2:$J$97,"Taip")</f>
        <v>0</v>
      </c>
    </row>
    <row r="7" customFormat="false" ht="15" hidden="false" customHeight="false" outlineLevel="0" collapsed="false">
      <c r="A7" s="9" t="s">
        <v>97</v>
      </c>
      <c r="B7" s="9" t="n">
        <f aca="false">COUNTIF(Šaltiniai!$B$2:$B$97,$A7)</f>
        <v>9</v>
      </c>
      <c r="C7" s="9" t="n">
        <f aca="false">COUNTIFS(Šaltiniai!$B$2:$B$97,$A7,Šaltiniai!$G$2:$G$97,"Taip")</f>
        <v>8</v>
      </c>
      <c r="D7" s="9" t="n">
        <f aca="false">COUNTIFS(Šaltiniai!$B$2:$B$97,$A7,Šaltiniai!$J$2:$J$97,"Taip")</f>
        <v>0</v>
      </c>
    </row>
    <row r="8" customFormat="false" ht="15" hidden="false" customHeight="false" outlineLevel="0" collapsed="false">
      <c r="A8" s="9" t="s">
        <v>125</v>
      </c>
      <c r="B8" s="9" t="n">
        <f aca="false">COUNTIF(Šaltiniai!$B$2:$B$97,$A8)</f>
        <v>28</v>
      </c>
      <c r="C8" s="9" t="n">
        <f aca="false">COUNTIFS(Šaltiniai!$B$2:$B$97,$A8,Šaltiniai!$G$2:$G$97,"Taip")</f>
        <v>28</v>
      </c>
      <c r="D8" s="9" t="n">
        <f aca="false">COUNTIFS(Šaltiniai!$B$2:$B$97,$A8,Šaltiniai!$J$2:$J$97,"Taip")</f>
        <v>0</v>
      </c>
    </row>
    <row r="9" customFormat="false" ht="15" hidden="false" customHeight="false" outlineLevel="0" collapsed="false">
      <c r="A9" s="9" t="s">
        <v>208</v>
      </c>
      <c r="B9" s="9" t="n">
        <f aca="false">COUNTIF(Šaltiniai!$B$2:$B$97,$A9)</f>
        <v>21</v>
      </c>
      <c r="C9" s="9" t="n">
        <f aca="false">COUNTIFS(Šaltiniai!$B$2:$B$97,$A9,Šaltiniai!$G$2:$G$97,"Taip")</f>
        <v>20</v>
      </c>
      <c r="D9" s="9" t="n">
        <f aca="false">COUNTIFS(Šaltiniai!$B$2:$B$97,$A9,Šaltiniai!$J$2:$J$97,"Taip")</f>
        <v>0</v>
      </c>
    </row>
    <row r="10" customFormat="false" ht="15" hidden="false" customHeight="false" outlineLevel="0" collapsed="false">
      <c r="A10" s="9" t="s">
        <v>269</v>
      </c>
      <c r="B10" s="9" t="n">
        <f aca="false">COUNTIF(Šaltiniai!$B$2:$B$97,$A10)</f>
        <v>12</v>
      </c>
      <c r="C10" s="9" t="n">
        <f aca="false">COUNTIFS(Šaltiniai!$B$2:$B$97,$A10,Šaltiniai!$G$2:$G$97,"Taip")</f>
        <v>9</v>
      </c>
      <c r="D10" s="9" t="n">
        <f aca="false">COUNTIFS(Šaltiniai!$B$2:$B$97,$A10,Šaltiniai!$J$2:$J$97,"Taip")</f>
        <v>0</v>
      </c>
    </row>
    <row r="11" customFormat="false" ht="15" hidden="false" customHeight="false" outlineLevel="0" collapsed="false">
      <c r="A11" s="9" t="s">
        <v>311</v>
      </c>
      <c r="B11" s="9" t="n">
        <f aca="false">COUNTIF(Šaltiniai!$B$2:$B$97,$A11)</f>
        <v>9</v>
      </c>
      <c r="C11" s="9" t="n">
        <f aca="false">COUNTIFS(Šaltiniai!$B$2:$B$97,$A11,Šaltiniai!$G$2:$G$97,"Taip")</f>
        <v>5</v>
      </c>
      <c r="D11" s="9" t="n">
        <f aca="false">COUNTIFS(Šaltiniai!$B$2:$B$97,$A11,Šaltiniai!$J$2:$J$97,"Taip")</f>
        <v>0</v>
      </c>
    </row>
    <row r="12" customFormat="false" ht="15" hidden="false" customHeight="false" outlineLevel="0" collapsed="false">
      <c r="A12" s="10" t="s">
        <v>344</v>
      </c>
      <c r="B12" s="10" t="n">
        <f aca="false">SUM(B4:B11)</f>
        <v>96</v>
      </c>
      <c r="C12" s="10" t="n">
        <f aca="false">SUM(C4:C11)</f>
        <v>83</v>
      </c>
      <c r="D12" s="10" t="n">
        <f aca="false">SUM(D4:D11)</f>
        <v>0</v>
      </c>
    </row>
    <row r="14" customFormat="false" ht="15" hidden="false" customHeight="false" outlineLevel="0" collapsed="false">
      <c r="A14" s="11" t="s">
        <v>345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2026-09-03T06:25:51Z</dcterms:created>
  <dc:creator>openpyxl</dc:creator>
  <dc:description/>
  <dc:language>en-US</dc:language>
  <cp:lastModifiedBy/>
  <dcterms:modified xsi:type="dcterms:W3CDTF">2026-09-03T06:25:51Z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